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зор" state="visible" r:id="rId4"/>
    <sheet sheetId="2" name="Интервью" state="visible" r:id="rId5"/>
    <sheet sheetId="3" name="Финансовая модель" state="visible" r:id="rId6"/>
    <sheet sheetId="4" name="Формулы" state="visible" r:id="rId7"/>
    <sheet sheetId="5" name="CapEx" state="visible" r:id="rId8"/>
    <sheet sheetId="6" name="OpEx" state="visible" r:id="rId9"/>
    <sheet sheetId="7" name="Финансирование" state="visible" r:id="rId10"/>
    <sheet sheetId="8" name="Залог" state="visible" r:id="rId11"/>
    <sheet sheetId="9" name="Риски" state="visible" r:id="rId12"/>
    <sheet sheetId="10" name="Готовность" state="visible" r:id="rId13"/>
    <sheet sheetId="11" name="Рыночные данные" state="visible" r:id="rId14"/>
    <sheet sheetId="12" name="Импорт и экспорт" state="visible" r:id="rId15"/>
    <sheet sheetId="13" name="Источники" state="visible" r:id="rId16"/>
    <sheet sheetId="14" name="Графики" state="visible" r:id="rId17"/>
    <sheet sheetId="15" name="Рекомендации" state="visible" r:id="rId18"/>
    <sheet sheetId="16" name="Предупреждения" state="visible" r:id="rId19"/>
  </sheets>
  <calcPr calcId="171027"/>
</workbook>
</file>

<file path=xl/sharedStrings.xml><?xml version="1.0" encoding="utf-8"?>
<sst xmlns="http://schemas.openxmlformats.org/spreadsheetml/2006/main" count="1012" uniqueCount="384">
  <si>
    <t>Швейная мастерская - Фергана</t>
  </si>
  <si>
    <t/>
  </si>
  <si>
    <t>Сформировано</t>
  </si>
  <si>
    <t>04 июня 2026 г. в 08:34</t>
  </si>
  <si>
    <t>Показатель</t>
  </si>
  <si>
    <t>Значение</t>
  </si>
  <si>
    <t>Название проекта</t>
  </si>
  <si>
    <t>Тип бизнеса</t>
  </si>
  <si>
    <t>Швейная мастерская</t>
  </si>
  <si>
    <t>Регион</t>
  </si>
  <si>
    <t>Фергана</t>
  </si>
  <si>
    <t>Район / город</t>
  </si>
  <si>
    <t>Фергана город</t>
  </si>
  <si>
    <t>Планируемый старт</t>
  </si>
  <si>
    <t>через 3 месяца</t>
  </si>
  <si>
    <t>Общий скоринг</t>
  </si>
  <si>
    <t>14/100</t>
  </si>
  <si>
    <t>Готовность проекта</t>
  </si>
  <si>
    <t>29/100</t>
  </si>
  <si>
    <t>Ключевые выводы</t>
  </si>
  <si>
    <t>Проект описывает запуск бизнеса "Швейная мастерская" в регионе: Фергана, район/город: Фергана город. Идея: Мастерская по пошиву формы, спецодежды и мелких партий одежды для B2B-клиентов..</t>
  </si>
  <si>
    <t>Предварительная потребность в инвестициях составляет 272 640 000 сум: стартовые вложения 134 760 000 сум и оборотный капитал 137 880 000 сум.</t>
  </si>
  <si>
    <t>Собственные средства указаны как 80 000 000 сум. Доля собственных средств в расчетной потребности: 29.3%. Курс USD/UZS является расчетным допущением и должен быть проверен перед использованием.</t>
  </si>
  <si>
    <t>Пользователь не планирует кредит. Проект оценивается с точки зрения достаточности собственных средств и/или лизинга оборудования. DSCR для банковского кредита не применяется, если нет долговой нагрузки.</t>
  </si>
  <si>
    <t>В отчет включены внешние рыночные данные из проверенных источников: StatUz. Их нужно читать как справочный контекст, а не как гарантию спроса по конкретной точке продаж.</t>
  </si>
  <si>
    <t>Оценка реализуемости проекта: 14/100. Готовность к финансированию: 29/100. Главные зоны проверки: спрос, продажи, поставщики, документы, оборудование, оборотный капитал и локация.</t>
  </si>
  <si>
    <t>До подачи заявки необходимо подтвердить коммерческие предложения, предварительный спрос, документы по помещению, разрешения и структуру финансирования.</t>
  </si>
  <si>
    <t>Ограничение ответственности</t>
  </si>
  <si>
    <t>Данный отчет является предварительной консультационной оценкой. Он не является гарантией прибыли, финансирования, одобрения кредита или инвестиционной рекомендацией. Рыночные числовые данные используются только при наличии источника; финансовые допущения необходимо проверить перед принятием решений.</t>
  </si>
  <si>
    <t>Раздел</t>
  </si>
  <si>
    <t>Поле</t>
  </si>
  <si>
    <t>Ответ</t>
  </si>
  <si>
    <t>Ед.</t>
  </si>
  <si>
    <t>Обяз.</t>
  </si>
  <si>
    <t>Бизнес-идея</t>
  </si>
  <si>
    <t>Да</t>
  </si>
  <si>
    <t>Описание идеи</t>
  </si>
  <si>
    <t>Мастерская по пошиву формы, спецодежды и мелких партий одежды для B2B-клиентов.</t>
  </si>
  <si>
    <t>Район/город</t>
  </si>
  <si>
    <t>Нет</t>
  </si>
  <si>
    <t>Тип изделий</t>
  </si>
  <si>
    <t>Форма, спецодежда, ремонт и мелкосерийный пошив</t>
  </si>
  <si>
    <t>Детали бизнес-идеи</t>
  </si>
  <si>
    <t>Не заполнено</t>
  </si>
  <si>
    <t>Помещение и локация</t>
  </si>
  <si>
    <t>Помещение</t>
  </si>
  <si>
    <t>Аренда</t>
  </si>
  <si>
    <t>Аренда в месяц</t>
  </si>
  <si>
    <t>3 500 000 сум</t>
  </si>
  <si>
    <t>UZS</t>
  </si>
  <si>
    <t>Инфраструктура</t>
  </si>
  <si>
    <t>Площадь</t>
  </si>
  <si>
    <t>м2</t>
  </si>
  <si>
    <t>Описание помещения</t>
  </si>
  <si>
    <t>Оборудование и запуск</t>
  </si>
  <si>
    <t>Оборудование</t>
  </si>
  <si>
    <t>Б/у</t>
  </si>
  <si>
    <t>Поставщик</t>
  </si>
  <si>
    <t>Коммерческое предложение</t>
  </si>
  <si>
    <t>Срок поставки</t>
  </si>
  <si>
    <t>мес.</t>
  </si>
  <si>
    <t>Оборудование CapEx</t>
  </si>
  <si>
    <t>48 000 000 сум</t>
  </si>
  <si>
    <t>Ремонт/подготовка</t>
  </si>
  <si>
    <t>12 000 000 сум</t>
  </si>
  <si>
    <t>IT/POS/сайт</t>
  </si>
  <si>
    <t>Описание оборудования</t>
  </si>
  <si>
    <t>Операционная модель</t>
  </si>
  <si>
    <t>Изделия в месяц</t>
  </si>
  <si>
    <t>900 изделий/мес.</t>
  </si>
  <si>
    <t>изделий/мес.</t>
  </si>
  <si>
    <t>Загрузка</t>
  </si>
  <si>
    <t>%</t>
  </si>
  <si>
    <t>Фонд оплаты труда</t>
  </si>
  <si>
    <t>Швея - 5; Закройщик - 1. Итого: 6; фонд оплаты труда в месяц: 20 700 000 сум</t>
  </si>
  <si>
    <t>Контроль качества</t>
  </si>
  <si>
    <t>Описание процесса</t>
  </si>
  <si>
    <t>Поставщики и закупки</t>
  </si>
  <si>
    <t>Поставки</t>
  </si>
  <si>
    <t>Смешанная модель</t>
  </si>
  <si>
    <t>Поставщики</t>
  </si>
  <si>
    <t>Валюта</t>
  </si>
  <si>
    <t>Стартовый запас</t>
  </si>
  <si>
    <t>Сырье/товар на единицу</t>
  </si>
  <si>
    <t>35 000 сум</t>
  </si>
  <si>
    <t>Упаковка на единицу</t>
  </si>
  <si>
    <t>Логистика на единицу</t>
  </si>
  <si>
    <t>Комиссия на единицу</t>
  </si>
  <si>
    <t>Списания/потери</t>
  </si>
  <si>
    <t>Описание закупок</t>
  </si>
  <si>
    <t>Продажи</t>
  </si>
  <si>
    <t>Клиенты и каналы</t>
  </si>
  <si>
    <t>B2B-клиенты, Маркетплейсы</t>
  </si>
  <si>
    <t>Договоренности</t>
  </si>
  <si>
    <t>Оплата</t>
  </si>
  <si>
    <t>Средняя цена изделия</t>
  </si>
  <si>
    <t>85 000 сум</t>
  </si>
  <si>
    <t>Стабильная выручка</t>
  </si>
  <si>
    <t>Основной расчет выручки</t>
  </si>
  <si>
    <t>Использовать расчетную выручку</t>
  </si>
  <si>
    <t>Сезонность</t>
  </si>
  <si>
    <t>Описание продаж</t>
  </si>
  <si>
    <t>Финансирование</t>
  </si>
  <si>
    <t>Собственные средства</t>
  </si>
  <si>
    <t>80000000</t>
  </si>
  <si>
    <t>Кредит</t>
  </si>
  <si>
    <t>Сумма кредита</t>
  </si>
  <si>
    <t>Валюта кредита</t>
  </si>
  <si>
    <t>Срок кредита</t>
  </si>
  <si>
    <t>Годовая ставка кредита</t>
  </si>
  <si>
    <t>Льготный период</t>
  </si>
  <si>
    <t>Тип погашения</t>
  </si>
  <si>
    <t>Аннуитет</t>
  </si>
  <si>
    <t>Цель кредита</t>
  </si>
  <si>
    <t>Залог</t>
  </si>
  <si>
    <t>Тип залога</t>
  </si>
  <si>
    <t>Год залога</t>
  </si>
  <si>
    <t>Состояние залога</t>
  </si>
  <si>
    <t>Стоимость залога</t>
  </si>
  <si>
    <t>Документы по залогу</t>
  </si>
  <si>
    <t>Лизинг</t>
  </si>
  <si>
    <t>Сумма лизинга</t>
  </si>
  <si>
    <t>35000000</t>
  </si>
  <si>
    <t>Валюта лизинга</t>
  </si>
  <si>
    <t>Предмет лизинга</t>
  </si>
  <si>
    <t>Швейные машины и оверлоки</t>
  </si>
  <si>
    <t>Первоначальный взнос</t>
  </si>
  <si>
    <t>Срок лизинга</t>
  </si>
  <si>
    <t>24 мес.</t>
  </si>
  <si>
    <t>Ставка/удорожание лизинга</t>
  </si>
  <si>
    <t>24%</t>
  </si>
  <si>
    <t>Ежемесячный платеж лизинга</t>
  </si>
  <si>
    <t>Поставщик оборудования</t>
  </si>
  <si>
    <t>КП по лизингу</t>
  </si>
  <si>
    <t>Доставка/монтаж включены</t>
  </si>
  <si>
    <t>Буфер оборотного капитала</t>
  </si>
  <si>
    <t>Буфер дебиторки</t>
  </si>
  <si>
    <t>Сезонный запас</t>
  </si>
  <si>
    <t>Гранты/субсидии</t>
  </si>
  <si>
    <t>Другое финансирование</t>
  </si>
  <si>
    <t>Резерв</t>
  </si>
  <si>
    <t>Описание финансов</t>
  </si>
  <si>
    <t>Документы и опыт</t>
  </si>
  <si>
    <t>Документы/разрешения</t>
  </si>
  <si>
    <t>Понимаю требования</t>
  </si>
  <si>
    <t>Консультант</t>
  </si>
  <si>
    <t>Опыт</t>
  </si>
  <si>
    <t>Средний</t>
  </si>
  <si>
    <t>Описание документов и опыта</t>
  </si>
  <si>
    <t>Комментарий</t>
  </si>
  <si>
    <t>Общий объем инвестиций</t>
  </si>
  <si>
    <t>272 640 000 сум</t>
  </si>
  <si>
    <t>CapEx + оборотный капитал</t>
  </si>
  <si>
    <t>80 000 000 сум</t>
  </si>
  <si>
    <t>Указанная сумма и эквивалент в UZS</t>
  </si>
  <si>
    <t>Доля собственных средств</t>
  </si>
  <si>
    <t>29.3%</t>
  </si>
  <si>
    <t>От расчетной потребности</t>
  </si>
  <si>
    <t>Разрыв финансирования</t>
  </si>
  <si>
    <t>157 640 000 сум</t>
  </si>
  <si>
    <t>Нужно закрыть до запуска</t>
  </si>
  <si>
    <t>Не применяется</t>
  </si>
  <si>
    <t>Кредит не выбран</t>
  </si>
  <si>
    <t>Кредит не применяется</t>
  </si>
  <si>
    <t>Ежемесячный платеж по кредиту</t>
  </si>
  <si>
    <t>35 000 000 сум</t>
  </si>
  <si>
    <t>24% / 24 мес.</t>
  </si>
  <si>
    <t>Стартовые CapEx</t>
  </si>
  <si>
    <t>134 760 000 сум</t>
  </si>
  <si>
    <t>Сумма видимых статей CapEx</t>
  </si>
  <si>
    <t>Оборотный капитал</t>
  </si>
  <si>
    <t>137 880 000 сум</t>
  </si>
  <si>
    <t>3 мес. фиксированных расходов + запасы/буферы</t>
  </si>
  <si>
    <t>Фонд оплаты труда в месяц</t>
  </si>
  <si>
    <t>20 700 000 сум</t>
  </si>
  <si>
    <t>Сумма по ролям и количеству сотрудников</t>
  </si>
  <si>
    <t>Месячная выручка</t>
  </si>
  <si>
    <t>49 725 000 сум</t>
  </si>
  <si>
    <t>Volume × Price × Utilization</t>
  </si>
  <si>
    <t>Годовая выручка</t>
  </si>
  <si>
    <t>596 700 000 сум</t>
  </si>
  <si>
    <t>Месячная выручка x 12</t>
  </si>
  <si>
    <t>COGS</t>
  </si>
  <si>
    <t>20 475 000 сум</t>
  </si>
  <si>
    <t>Данные пользователя</t>
  </si>
  <si>
    <t>COGS за единицу</t>
  </si>
  <si>
    <t>С учетом списаний/потерь</t>
  </si>
  <si>
    <t>Валовая маржа</t>
  </si>
  <si>
    <t>58.8%</t>
  </si>
  <si>
    <t>Gross profit / Revenue</t>
  </si>
  <si>
    <t>EBITDA</t>
  </si>
  <si>
    <t>'-16 710 000 сум</t>
  </si>
  <si>
    <t>Gross profit - OpEx</t>
  </si>
  <si>
    <t>Точка безубыточности</t>
  </si>
  <si>
    <t>78 200 000 сум</t>
  </si>
  <si>
    <t>Fixed OpEx / Contribution margin</t>
  </si>
  <si>
    <t>DSCR</t>
  </si>
  <si>
    <t>'-9.03</t>
  </si>
  <si>
    <t>EBITDA / Debt service</t>
  </si>
  <si>
    <t>Срок окупаемости</t>
  </si>
  <si>
    <t>Не рассчитывается при отрицательном денежном потоке</t>
  </si>
  <si>
    <t>Количество сотрудников</t>
  </si>
  <si>
    <t>6</t>
  </si>
  <si>
    <t>Швея - 5; Закройщик - 1</t>
  </si>
  <si>
    <t>Курс USD/UZS</t>
  </si>
  <si>
    <t>11 970,68</t>
  </si>
  <si>
    <t>Расчетное допущение</t>
  </si>
  <si>
    <t>Дата курса USD/UZS</t>
  </si>
  <si>
    <t>Не указано</t>
  </si>
  <si>
    <t>Плановый объем</t>
  </si>
  <si>
    <t>Equipment</t>
  </si>
  <si>
    <t>CapEx</t>
  </si>
  <si>
    <t>Premises setup</t>
  </si>
  <si>
    <t>Working capital</t>
  </si>
  <si>
    <t>3 months</t>
  </si>
  <si>
    <t>Own contribution</t>
  </si>
  <si>
    <t>Формула</t>
  </si>
  <si>
    <t>Подстановка</t>
  </si>
  <si>
    <t>Результат</t>
  </si>
  <si>
    <t>Источник</t>
  </si>
  <si>
    <t>A</t>
  </si>
  <si>
    <t>B</t>
  </si>
  <si>
    <t>C</t>
  </si>
  <si>
    <t>Excel-формула</t>
  </si>
  <si>
    <t>900 × 85 000 × 65%</t>
  </si>
  <si>
    <t>Расчет</t>
  </si>
  <si>
    <t>Units × Unit COGS × (1 + Waste%)</t>
  </si>
  <si>
    <t>585 × 35 000 × 1</t>
  </si>
  <si>
    <t>Gross margin</t>
  </si>
  <si>
    <t>29 250 000 / 49 725 000</t>
  </si>
  <si>
    <t>OpEx</t>
  </si>
  <si>
    <t>Payroll + Rent + Utilities + Marketing + Maintenance + Taxes + Logistics + Software + Insurance + Accounting + Other</t>
  </si>
  <si>
    <t>20 700 000 + 3 500 000 + 3 200 000 + 3 840 000 + 2 560 000 + 3 840 000 + 3 200 000 + 1 280 000 + 1 280 000 + 1 280 000 + 1 280 000</t>
  </si>
  <si>
    <t>45 960 000 сум</t>
  </si>
  <si>
    <t>monthlyFixedOpex × bufferMonths + initialInventory + accountsReceivableBuffer - accountsPayableBuffer + seasonalStockBuffer</t>
  </si>
  <si>
    <t>45 960 000 × 3 + 0 + 0 - 0 + 0</t>
  </si>
  <si>
    <t>Financing gap</t>
  </si>
  <si>
    <t>Total investment need - Available funding</t>
  </si>
  <si>
    <t>272 640 000 - 115 000 000</t>
  </si>
  <si>
    <t>Break-even</t>
  </si>
  <si>
    <t>Fixed OpEx / Contribution margin per unit</t>
  </si>
  <si>
    <t>45 960 000 / 50 000</t>
  </si>
  <si>
    <t>920 изделий/мес.</t>
  </si>
  <si>
    <t>Loan payment / DSCR</t>
  </si>
  <si>
    <t>PMT(rate/12, term, principal); EBITDA / debt service</t>
  </si>
  <si>
    <t>26% / 12, 36 мес., 0; -16 710 000 / 1 850 488</t>
  </si>
  <si>
    <t>1 850 488 сум; DSCR -9.03</t>
  </si>
  <si>
    <t>Допущение</t>
  </si>
  <si>
    <t>Статья</t>
  </si>
  <si>
    <t>Сумма</t>
  </si>
  <si>
    <t>Ремонт и подготовка помещения</t>
  </si>
  <si>
    <t>Мебель и инвентарь</t>
  </si>
  <si>
    <t>8 000 000 сум</t>
  </si>
  <si>
    <t>IT / POS / касса / сайт</t>
  </si>
  <si>
    <t>4 000 000 сум</t>
  </si>
  <si>
    <t>Регистрация и сертификация</t>
  </si>
  <si>
    <t>Первоначальный запас</t>
  </si>
  <si>
    <t>45 000 000 сум</t>
  </si>
  <si>
    <t>Доставка и монтаж</t>
  </si>
  <si>
    <t>1 920 000 сум</t>
  </si>
  <si>
    <t>Обучение и запуск</t>
  </si>
  <si>
    <t>Резерв CapEx</t>
  </si>
  <si>
    <t>3 840 000 сум</t>
  </si>
  <si>
    <t>Прочий CapEx</t>
  </si>
  <si>
    <t>0 сум</t>
  </si>
  <si>
    <t>Итого CapEx</t>
  </si>
  <si>
    <t>Сумма статей CapEx</t>
  </si>
  <si>
    <t>Зарплата</t>
  </si>
  <si>
    <t>Monthly OpEx</t>
  </si>
  <si>
    <t>Коммунальные</t>
  </si>
  <si>
    <t>3 200 000 сум</t>
  </si>
  <si>
    <t>Маркетинг</t>
  </si>
  <si>
    <t>Обслуживание</t>
  </si>
  <si>
    <t>2 560 000 сум</t>
  </si>
  <si>
    <t>Налоги</t>
  </si>
  <si>
    <t>Логистика</t>
  </si>
  <si>
    <t>ПО / IT</t>
  </si>
  <si>
    <t>1 280 000 сум</t>
  </si>
  <si>
    <t>Страхование</t>
  </si>
  <si>
    <t>Бухгалтерия</t>
  </si>
  <si>
    <t>Прочие расходы</t>
  </si>
  <si>
    <t>Итого ежемесячный OpEx</t>
  </si>
  <si>
    <t>Сумма ежемесячных статей OpEx</t>
  </si>
  <si>
    <t>Общая потребность в инвестициях</t>
  </si>
  <si>
    <t>CapEx плюс оборотный капитал</t>
  </si>
  <si>
    <t>Гранты</t>
  </si>
  <si>
    <t>Грантовое финансирование</t>
  </si>
  <si>
    <t>Другое подтвержденное финансирование</t>
  </si>
  <si>
    <t>Доступное финансирование</t>
  </si>
  <si>
    <t>115 000 000 сум</t>
  </si>
  <si>
    <t>Собственные средства плюс подтвержденное внешнее финансирование</t>
  </si>
  <si>
    <t>Непокрытая потребность в инвестициях</t>
  </si>
  <si>
    <t>Излишек финансирования</t>
  </si>
  <si>
    <t>Финансирование сверх потребности</t>
  </si>
  <si>
    <t>EBITDA / платежи по долгу</t>
  </si>
  <si>
    <t>Залог не выбран</t>
  </si>
  <si>
    <t>Риск</t>
  </si>
  <si>
    <t>Уровень</t>
  </si>
  <si>
    <t>Причина</t>
  </si>
  <si>
    <t>Рекомендация</t>
  </si>
  <si>
    <t>Валютный риск</t>
  </si>
  <si>
    <t>Высокий</t>
  </si>
  <si>
    <t>Планируются импортные или смешанные поставки, валютный буфер не подтвержден.</t>
  </si>
  <si>
    <t>Сравнить локальных и импортных поставщиков, предусмотреть валютный запас в цене и иметь 2-3 альтернативных поставщика.</t>
  </si>
  <si>
    <t>Помещение и инфраструктура</t>
  </si>
  <si>
    <t>Нет подтверждения готовности помещения, электричества или вентиляции.</t>
  </si>
  <si>
    <t>Проверить коммунальные условия, склад, договор аренды/собственности, трафик и ограничения по деятельности.</t>
  </si>
  <si>
    <t>Резерв оборотного капитала выглядит ограниченным.</t>
  </si>
  <si>
    <t>Отдельно рассчитать закупки, график оплат клиентов и минимум 3 месяца фиксированных расходов.</t>
  </si>
  <si>
    <t>Оборудование и сервис</t>
  </si>
  <si>
    <t>Планируется б/у оборудование, сервис и запасные части нужно подтвердить.</t>
  </si>
  <si>
    <t>Получить КП, гарантию, условия сервиса, список запасных частей или альтернатив и план обучения персонала.</t>
  </si>
  <si>
    <t>Готовность к финансированию</t>
  </si>
  <si>
    <t>Предварительные договоренности с покупателями пока не подтверждены.</t>
  </si>
  <si>
    <t>Собрать КП, письма о намерениях, документы по помещению, план сертификации и управленческую финансовую модель.</t>
  </si>
  <si>
    <t>Рыночный спрос</t>
  </si>
  <si>
    <t>Подтверждение спроса и каналов продаж пока недостаточно конкретное.</t>
  </si>
  <si>
    <t>Проверить цены конкурентов, собрать предварительные заказы, письма о намерениях или результаты тестовых продаж.</t>
  </si>
  <si>
    <t>Продажи и концентрация каналов</t>
  </si>
  <si>
    <t>Указано каналов продаж: 2. Подтвержденный спрос нужно усилить.</t>
  </si>
  <si>
    <t>Собрать письма о намерениях, прайс-листы, предварительные заказы и план продаж минимум по 3 каналам.</t>
  </si>
  <si>
    <t>Документы и разрешения</t>
  </si>
  <si>
    <t>Низкий</t>
  </si>
  <si>
    <t>План документов или консультант указан, но подтверждающие материалы нужно проверить.</t>
  </si>
  <si>
    <t>Проверить отраслевые требования, получить консультацию, заложить бюджет и сроки оформления до запуска.</t>
  </si>
  <si>
    <t>Кредит не выбран, поэтому отсутствие залога не штрафует проект.</t>
  </si>
  <si>
    <t>Оценивать достаточность собственных средств и/или лизинга оборудования.</t>
  </si>
  <si>
    <t>Оценка реализуемости</t>
  </si>
  <si>
    <t>Пользователь не планирует кредит. Проект можно оценивать с точки зрения достаточности собственных средств и/или лизинга оборудования. Разрыв финансирования: 157 640 000 сум.</t>
  </si>
  <si>
    <t>Год</t>
  </si>
  <si>
    <t>Обновлено</t>
  </si>
  <si>
    <t>Качество совпадения</t>
  </si>
  <si>
    <t>Релевантность</t>
  </si>
  <si>
    <t>Textile and apparel production proxy</t>
  </si>
  <si>
    <t>2024</t>
  </si>
  <si>
    <t>Uzbekistan</t>
  </si>
  <si>
    <t>100</t>
  </si>
  <si>
    <t>index</t>
  </si>
  <si>
    <t>StatUz</t>
  </si>
  <si>
    <t>Близкий proxy</t>
  </si>
  <si>
    <t>Текстильное производство является близким proxy для швейной мастерской.</t>
  </si>
  <si>
    <t>Тип</t>
  </si>
  <si>
    <t>HS Code</t>
  </si>
  <si>
    <t>Категория продукта</t>
  </si>
  <si>
    <t>Страна</t>
  </si>
  <si>
    <t>Стоимость USD</t>
  </si>
  <si>
    <t>Объем</t>
  </si>
  <si>
    <t>Официальные числовые данные по этому показателю не найдены.</t>
  </si>
  <si>
    <t>URL</t>
  </si>
  <si>
    <t>Примечание</t>
  </si>
  <si>
    <t>Официальная статистика</t>
  </si>
  <si>
    <t>Textile and apparel production proxy (Близкий proxy). Текстильное производство является близким proxy для швейной мастерской.</t>
  </si>
  <si>
    <t>Chart-ready data / встроенные диаграммы</t>
  </si>
  <si>
    <t>Series</t>
  </si>
  <si>
    <t>Item</t>
  </si>
  <si>
    <t>Amount</t>
  </si>
  <si>
    <t>Revenue/COGS/EBITDA</t>
  </si>
  <si>
    <t>Revenue</t>
  </si>
  <si>
    <t>49725000</t>
  </si>
  <si>
    <t>20475000</t>
  </si>
  <si>
    <t>'-16710000</t>
  </si>
  <si>
    <t>Financing</t>
  </si>
  <si>
    <t>Loan</t>
  </si>
  <si>
    <t>0</t>
  </si>
  <si>
    <t>Leasing</t>
  </si>
  <si>
    <t>157640000</t>
  </si>
  <si>
    <t>ExcelJS не поддерживает native charts стабильно; лист содержит chart-ready tables и логотип FINKO.</t>
  </si>
  <si>
    <t>Приоритет</t>
  </si>
  <si>
    <t>План действий</t>
  </si>
  <si>
    <t>Подготовить коммерческие предложения по оборудованию, запуску, сервису и срокам поставки.</t>
  </si>
  <si>
    <t>High</t>
  </si>
  <si>
    <t>Проверить документы, разрешения, договоры и отраслевые требования до запуска.</t>
  </si>
  <si>
    <t>Собрать подтверждение каналов продаж: письма о намерениях, предварительные заказы, прайс-листы.</t>
  </si>
  <si>
    <t>Medium</t>
  </si>
  <si>
    <t>Отдельно рассчитать оборотный капитал: закупки, аренда, зарплата и период оплаты клиентами.</t>
  </si>
  <si>
    <t>Обновить финансовую модель после проверки цен поставщиков и реальной загрузки производства.</t>
  </si>
  <si>
    <t>Проверить, хватает ли собственных средств и/или лизинга без привлечения банковского кредита.</t>
  </si>
  <si>
    <t>До подачи заявки доработать бизнес-план с консультантом FINKO или профильным финансовым консультантом.</t>
  </si>
  <si>
    <t>Найти локальных поставщиков и зафиксировать валютный буфер в цене.</t>
  </si>
  <si>
    <t>Тип предупреждения</t>
  </si>
  <si>
    <t>Предупреждение</t>
  </si>
  <si>
    <t>Значения</t>
  </si>
  <si>
    <t>Есть разрыв финансирования. Нужно увеличить собственные средства, подтвердить кредит/лизинг или сократить стартовые вложения.</t>
  </si>
  <si>
    <t>Разрыв финансирования - 157 640 000 сум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</si>
</sst>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1144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3" fontId="0" fillId="0" borderId="0" xfId="0" applyNumberFormat="1"/>
    <xf numFmtId="3" fontId="2" fillId="2" borderId="1" xfId="0" applyNumberFormat="1" applyFont="1" applyFill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6675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6675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0" customWidth="1"/>
  </cols>
  <sheetData>
    <row r="1" ht="22" customHeight="1" spans="1:2" s="1" customFormat="1" x14ac:dyDescent="0.25">
      <c r="A1" s="2"/>
      <c r="B1" s="2"/>
    </row>
    <row r="2" spans="1:2" s="1" customFormat="1" x14ac:dyDescent="0.25">
      <c r="A2" s="3" t="s">
        <v>0</v>
      </c>
      <c r="B2" s="3" t="s">
        <v>1</v>
      </c>
    </row>
    <row r="3" spans="1:2" s="1" customFormat="1" x14ac:dyDescent="0.25">
      <c r="A3" s="3" t="s">
        <v>2</v>
      </c>
      <c r="B3" s="3" t="s">
        <v>3</v>
      </c>
    </row>
    <row r="5" spans="1:2" s="4" customFormat="1" x14ac:dyDescent="0.25">
      <c r="A5" s="5" t="s">
        <v>4</v>
      </c>
      <c r="B5" s="5" t="s">
        <v>5</v>
      </c>
    </row>
    <row r="6" spans="1:2" s="1" customFormat="1" x14ac:dyDescent="0.25">
      <c r="A6" s="3" t="s">
        <v>6</v>
      </c>
      <c r="B6" s="3" t="s">
        <v>0</v>
      </c>
    </row>
    <row r="7" spans="1:2" s="1" customFormat="1" x14ac:dyDescent="0.25">
      <c r="A7" s="3" t="s">
        <v>7</v>
      </c>
      <c r="B7" s="3" t="s">
        <v>8</v>
      </c>
    </row>
    <row r="8" spans="1:2" s="1" customFormat="1" x14ac:dyDescent="0.25">
      <c r="A8" s="3" t="s">
        <v>9</v>
      </c>
      <c r="B8" s="3" t="s">
        <v>10</v>
      </c>
    </row>
    <row r="9" spans="1:2" s="1" customFormat="1" x14ac:dyDescent="0.25">
      <c r="A9" s="3" t="s">
        <v>11</v>
      </c>
      <c r="B9" s="3" t="s">
        <v>12</v>
      </c>
    </row>
    <row r="10" spans="1:2" s="1" customFormat="1" x14ac:dyDescent="0.25">
      <c r="A10" s="3" t="s">
        <v>13</v>
      </c>
      <c r="B10" s="3" t="s">
        <v>14</v>
      </c>
    </row>
    <row r="11" spans="1:2" s="1" customFormat="1" x14ac:dyDescent="0.25">
      <c r="A11" s="3" t="s">
        <v>15</v>
      </c>
      <c r="B11" s="3" t="s">
        <v>16</v>
      </c>
    </row>
    <row r="12" spans="1:2" s="1" customFormat="1" x14ac:dyDescent="0.25">
      <c r="A12" s="3" t="s">
        <v>17</v>
      </c>
      <c r="B12" s="3" t="s">
        <v>18</v>
      </c>
    </row>
    <row r="13" spans="1:2" s="1" customFormat="1" x14ac:dyDescent="0.25">
      <c r="A13" s="3" t="s">
        <v>19</v>
      </c>
      <c r="B13" s="3" t="s">
        <v>20</v>
      </c>
    </row>
    <row r="15" spans="1:2" s="6" customFormat="1" x14ac:dyDescent="0.25">
      <c r="A15" s="7" t="s">
        <v>19</v>
      </c>
      <c r="B15" s="7" t="s">
        <v>1</v>
      </c>
    </row>
    <row r="16" spans="1:2" s="1" customFormat="1" x14ac:dyDescent="0.25">
      <c r="A16" s="3" t="s">
        <v>20</v>
      </c>
      <c r="B16" s="3" t="s">
        <v>1</v>
      </c>
    </row>
    <row r="17" spans="1:2" s="1" customFormat="1" x14ac:dyDescent="0.25">
      <c r="A17" s="3" t="s">
        <v>21</v>
      </c>
      <c r="B17" s="3" t="s">
        <v>1</v>
      </c>
    </row>
    <row r="18" spans="1:2" s="1" customFormat="1" x14ac:dyDescent="0.25">
      <c r="A18" s="3" t="s">
        <v>22</v>
      </c>
      <c r="B18" s="3" t="s">
        <v>1</v>
      </c>
    </row>
    <row r="19" spans="1:2" s="1" customFormat="1" x14ac:dyDescent="0.25">
      <c r="A19" s="3" t="s">
        <v>23</v>
      </c>
      <c r="B19" s="3" t="s">
        <v>1</v>
      </c>
    </row>
    <row r="20" spans="1:2" s="1" customFormat="1" x14ac:dyDescent="0.25">
      <c r="A20" s="3" t="s">
        <v>24</v>
      </c>
      <c r="B20" s="3" t="s">
        <v>1</v>
      </c>
    </row>
    <row r="21" spans="1:2" s="1" customFormat="1" x14ac:dyDescent="0.25">
      <c r="A21" s="3" t="s">
        <v>25</v>
      </c>
      <c r="B21" s="3" t="s">
        <v>1</v>
      </c>
    </row>
    <row r="22" spans="1:2" s="1" customFormat="1" x14ac:dyDescent="0.25">
      <c r="A22" s="3" t="s">
        <v>26</v>
      </c>
      <c r="B22" s="3" t="s">
        <v>1</v>
      </c>
    </row>
    <row r="24" spans="1:2" s="1" customFormat="1" x14ac:dyDescent="0.25">
      <c r="A24" s="3" t="s">
        <v>27</v>
      </c>
      <c r="B24" s="3" t="s">
        <v>28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72" customWidth="1"/>
    <col min="4" max="5" width="12" customWidth="1"/>
  </cols>
  <sheetData>
    <row r="1" ht="22" customHeight="1" spans="1:5" s="4" customFormat="1" x14ac:dyDescent="0.2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</row>
    <row r="2" spans="1:5" s="1" customFormat="1" x14ac:dyDescent="0.25">
      <c r="A2" s="3" t="s">
        <v>34</v>
      </c>
      <c r="B2" s="3" t="s">
        <v>7</v>
      </c>
      <c r="C2" s="3" t="s">
        <v>8</v>
      </c>
      <c r="D2" s="3" t="s">
        <v>1</v>
      </c>
      <c r="E2" s="3" t="s">
        <v>35</v>
      </c>
    </row>
    <row r="3" spans="1:5" s="1" customFormat="1" x14ac:dyDescent="0.25">
      <c r="A3" s="3" t="s">
        <v>34</v>
      </c>
      <c r="B3" s="3" t="s">
        <v>36</v>
      </c>
      <c r="C3" s="3" t="s">
        <v>37</v>
      </c>
      <c r="D3" s="3" t="s">
        <v>1</v>
      </c>
      <c r="E3" s="3" t="s">
        <v>35</v>
      </c>
    </row>
    <row r="4" spans="1:5" s="1" customFormat="1" x14ac:dyDescent="0.25">
      <c r="A4" s="3" t="s">
        <v>34</v>
      </c>
      <c r="B4" s="3" t="s">
        <v>9</v>
      </c>
      <c r="C4" s="3" t="s">
        <v>10</v>
      </c>
      <c r="D4" s="3" t="s">
        <v>1</v>
      </c>
      <c r="E4" s="3" t="s">
        <v>35</v>
      </c>
    </row>
    <row r="5" spans="1:5" s="1" customFormat="1" x14ac:dyDescent="0.25">
      <c r="A5" s="3" t="s">
        <v>34</v>
      </c>
      <c r="B5" s="3" t="s">
        <v>38</v>
      </c>
      <c r="C5" s="3" t="s">
        <v>12</v>
      </c>
      <c r="D5" s="3" t="s">
        <v>1</v>
      </c>
      <c r="E5" s="3" t="s">
        <v>39</v>
      </c>
    </row>
    <row r="6" spans="1:5" s="1" customFormat="1" x14ac:dyDescent="0.25">
      <c r="A6" s="3" t="s">
        <v>34</v>
      </c>
      <c r="B6" s="3" t="s">
        <v>13</v>
      </c>
      <c r="C6" s="3" t="s">
        <v>14</v>
      </c>
      <c r="D6" s="3" t="s">
        <v>1</v>
      </c>
      <c r="E6" s="3" t="s">
        <v>39</v>
      </c>
    </row>
    <row r="7" spans="1:5" s="1" customFormat="1" x14ac:dyDescent="0.25">
      <c r="A7" s="3" t="s">
        <v>34</v>
      </c>
      <c r="B7" s="3" t="s">
        <v>40</v>
      </c>
      <c r="C7" s="3" t="s">
        <v>41</v>
      </c>
      <c r="D7" s="3" t="s">
        <v>1</v>
      </c>
      <c r="E7" s="3" t="s">
        <v>35</v>
      </c>
    </row>
    <row r="8" spans="1:5" s="1" customFormat="1" x14ac:dyDescent="0.25">
      <c r="A8" s="3" t="s">
        <v>34</v>
      </c>
      <c r="B8" s="3" t="s">
        <v>42</v>
      </c>
      <c r="C8" s="3" t="s">
        <v>43</v>
      </c>
      <c r="D8" s="3" t="s">
        <v>1</v>
      </c>
      <c r="E8" s="3" t="s">
        <v>39</v>
      </c>
    </row>
    <row r="9" spans="1:5" s="1" customFormat="1" x14ac:dyDescent="0.25">
      <c r="A9" s="3" t="s">
        <v>44</v>
      </c>
      <c r="B9" s="3" t="s">
        <v>45</v>
      </c>
      <c r="C9" s="3" t="s">
        <v>46</v>
      </c>
      <c r="D9" s="3" t="s">
        <v>1</v>
      </c>
      <c r="E9" s="3" t="s">
        <v>35</v>
      </c>
    </row>
    <row r="10" spans="1:5" s="1" customFormat="1" x14ac:dyDescent="0.25">
      <c r="A10" s="3" t="s">
        <v>44</v>
      </c>
      <c r="B10" s="3" t="s">
        <v>47</v>
      </c>
      <c r="C10" s="3" t="s">
        <v>48</v>
      </c>
      <c r="D10" s="3" t="s">
        <v>49</v>
      </c>
      <c r="E10" s="3" t="s">
        <v>39</v>
      </c>
    </row>
    <row r="11" spans="1:5" s="1" customFormat="1" x14ac:dyDescent="0.25">
      <c r="A11" s="3" t="s">
        <v>44</v>
      </c>
      <c r="B11" s="3" t="s">
        <v>50</v>
      </c>
      <c r="C11" s="3" t="s">
        <v>43</v>
      </c>
      <c r="D11" s="3" t="s">
        <v>1</v>
      </c>
      <c r="E11" s="3" t="s">
        <v>39</v>
      </c>
    </row>
    <row r="12" spans="1:5" s="1" customFormat="1" x14ac:dyDescent="0.25">
      <c r="A12" s="3" t="s">
        <v>44</v>
      </c>
      <c r="B12" s="3" t="s">
        <v>51</v>
      </c>
      <c r="C12" s="3" t="s">
        <v>43</v>
      </c>
      <c r="D12" s="3" t="s">
        <v>52</v>
      </c>
      <c r="E12" s="3" t="s">
        <v>39</v>
      </c>
    </row>
    <row r="13" spans="1:5" s="1" customFormat="1" x14ac:dyDescent="0.25">
      <c r="A13" s="3" t="s">
        <v>44</v>
      </c>
      <c r="B13" s="3" t="s">
        <v>53</v>
      </c>
      <c r="C13" s="3" t="s">
        <v>43</v>
      </c>
      <c r="D13" s="3" t="s">
        <v>1</v>
      </c>
      <c r="E13" s="3" t="s">
        <v>39</v>
      </c>
    </row>
    <row r="14" spans="1:5" s="1" customFormat="1" x14ac:dyDescent="0.25">
      <c r="A14" s="3" t="s">
        <v>54</v>
      </c>
      <c r="B14" s="3" t="s">
        <v>55</v>
      </c>
      <c r="C14" s="3" t="s">
        <v>56</v>
      </c>
      <c r="D14" s="3" t="s">
        <v>1</v>
      </c>
      <c r="E14" s="3" t="s">
        <v>35</v>
      </c>
    </row>
    <row r="15" spans="1:5" s="1" customFormat="1" x14ac:dyDescent="0.25">
      <c r="A15" s="3" t="s">
        <v>54</v>
      </c>
      <c r="B15" s="3" t="s">
        <v>57</v>
      </c>
      <c r="C15" s="3" t="s">
        <v>43</v>
      </c>
      <c r="D15" s="3" t="s">
        <v>1</v>
      </c>
      <c r="E15" s="3" t="s">
        <v>35</v>
      </c>
    </row>
    <row r="16" spans="1:5" s="1" customFormat="1" x14ac:dyDescent="0.25">
      <c r="A16" s="3" t="s">
        <v>54</v>
      </c>
      <c r="B16" s="3" t="s">
        <v>58</v>
      </c>
      <c r="C16" s="3" t="s">
        <v>43</v>
      </c>
      <c r="D16" s="3" t="s">
        <v>1</v>
      </c>
      <c r="E16" s="3" t="s">
        <v>39</v>
      </c>
    </row>
    <row r="17" spans="1:5" s="1" customFormat="1" x14ac:dyDescent="0.25">
      <c r="A17" s="3" t="s">
        <v>54</v>
      </c>
      <c r="B17" s="3" t="s">
        <v>59</v>
      </c>
      <c r="C17" s="3" t="s">
        <v>43</v>
      </c>
      <c r="D17" s="3" t="s">
        <v>60</v>
      </c>
      <c r="E17" s="3" t="s">
        <v>39</v>
      </c>
    </row>
    <row r="18" spans="1:5" s="1" customFormat="1" x14ac:dyDescent="0.25">
      <c r="A18" s="3" t="s">
        <v>54</v>
      </c>
      <c r="B18" s="3" t="s">
        <v>61</v>
      </c>
      <c r="C18" s="3" t="s">
        <v>62</v>
      </c>
      <c r="D18" s="3" t="s">
        <v>49</v>
      </c>
      <c r="E18" s="3" t="s">
        <v>39</v>
      </c>
    </row>
    <row r="19" spans="1:5" s="1" customFormat="1" x14ac:dyDescent="0.25">
      <c r="A19" s="3" t="s">
        <v>54</v>
      </c>
      <c r="B19" s="3" t="s">
        <v>63</v>
      </c>
      <c r="C19" s="3" t="s">
        <v>64</v>
      </c>
      <c r="D19" s="3" t="s">
        <v>49</v>
      </c>
      <c r="E19" s="3" t="s">
        <v>39</v>
      </c>
    </row>
    <row r="20" spans="1:5" s="1" customFormat="1" x14ac:dyDescent="0.25">
      <c r="A20" s="3" t="s">
        <v>54</v>
      </c>
      <c r="B20" s="3" t="s">
        <v>65</v>
      </c>
      <c r="C20" s="3" t="s">
        <v>43</v>
      </c>
      <c r="D20" s="3" t="s">
        <v>49</v>
      </c>
      <c r="E20" s="3" t="s">
        <v>39</v>
      </c>
    </row>
    <row r="21" spans="1:5" s="1" customFormat="1" x14ac:dyDescent="0.25">
      <c r="A21" s="3" t="s">
        <v>54</v>
      </c>
      <c r="B21" s="3" t="s">
        <v>66</v>
      </c>
      <c r="C21" s="3" t="s">
        <v>43</v>
      </c>
      <c r="D21" s="3" t="s">
        <v>1</v>
      </c>
      <c r="E21" s="3" t="s">
        <v>39</v>
      </c>
    </row>
    <row r="22" spans="1:5" s="1" customFormat="1" x14ac:dyDescent="0.25">
      <c r="A22" s="3" t="s">
        <v>67</v>
      </c>
      <c r="B22" s="3" t="s">
        <v>68</v>
      </c>
      <c r="C22" s="3" t="s">
        <v>69</v>
      </c>
      <c r="D22" s="3" t="s">
        <v>70</v>
      </c>
      <c r="E22" s="3" t="s">
        <v>35</v>
      </c>
    </row>
    <row r="23" spans="1:5" s="1" customFormat="1" x14ac:dyDescent="0.25">
      <c r="A23" s="3" t="s">
        <v>67</v>
      </c>
      <c r="B23" s="3" t="s">
        <v>71</v>
      </c>
      <c r="C23" s="3" t="s">
        <v>43</v>
      </c>
      <c r="D23" s="3" t="s">
        <v>72</v>
      </c>
      <c r="E23" s="3" t="s">
        <v>39</v>
      </c>
    </row>
    <row r="24" spans="1:5" s="1" customFormat="1" x14ac:dyDescent="0.25">
      <c r="A24" s="3" t="s">
        <v>67</v>
      </c>
      <c r="B24" s="3" t="s">
        <v>73</v>
      </c>
      <c r="C24" s="3" t="s">
        <v>74</v>
      </c>
      <c r="D24" s="3" t="s">
        <v>1</v>
      </c>
      <c r="E24" s="3" t="s">
        <v>35</v>
      </c>
    </row>
    <row r="25" spans="1:5" s="1" customFormat="1" x14ac:dyDescent="0.25">
      <c r="A25" s="3" t="s">
        <v>67</v>
      </c>
      <c r="B25" s="3" t="s">
        <v>75</v>
      </c>
      <c r="C25" s="3" t="s">
        <v>43</v>
      </c>
      <c r="D25" s="3" t="s">
        <v>1</v>
      </c>
      <c r="E25" s="3" t="s">
        <v>39</v>
      </c>
    </row>
    <row r="26" spans="1:5" s="1" customFormat="1" x14ac:dyDescent="0.25">
      <c r="A26" s="3" t="s">
        <v>67</v>
      </c>
      <c r="B26" s="3" t="s">
        <v>76</v>
      </c>
      <c r="C26" s="3" t="s">
        <v>43</v>
      </c>
      <c r="D26" s="3" t="s">
        <v>1</v>
      </c>
      <c r="E26" s="3" t="s">
        <v>39</v>
      </c>
    </row>
    <row r="27" spans="1:5" s="1" customFormat="1" x14ac:dyDescent="0.25">
      <c r="A27" s="3" t="s">
        <v>77</v>
      </c>
      <c r="B27" s="3" t="s">
        <v>78</v>
      </c>
      <c r="C27" s="3" t="s">
        <v>79</v>
      </c>
      <c r="D27" s="3" t="s">
        <v>1</v>
      </c>
      <c r="E27" s="3" t="s">
        <v>35</v>
      </c>
    </row>
    <row r="28" spans="1:5" s="1" customFormat="1" x14ac:dyDescent="0.25">
      <c r="A28" s="3" t="s">
        <v>77</v>
      </c>
      <c r="B28" s="3" t="s">
        <v>80</v>
      </c>
      <c r="C28" s="3" t="s">
        <v>43</v>
      </c>
      <c r="D28" s="3" t="s">
        <v>1</v>
      </c>
      <c r="E28" s="3" t="s">
        <v>39</v>
      </c>
    </row>
    <row r="29" spans="1:5" s="1" customFormat="1" x14ac:dyDescent="0.25">
      <c r="A29" s="3" t="s">
        <v>77</v>
      </c>
      <c r="B29" s="3" t="s">
        <v>81</v>
      </c>
      <c r="C29" s="3" t="s">
        <v>43</v>
      </c>
      <c r="D29" s="3" t="s">
        <v>1</v>
      </c>
      <c r="E29" s="3" t="s">
        <v>39</v>
      </c>
    </row>
    <row r="30" spans="1:5" s="1" customFormat="1" x14ac:dyDescent="0.25">
      <c r="A30" s="3" t="s">
        <v>77</v>
      </c>
      <c r="B30" s="3" t="s">
        <v>82</v>
      </c>
      <c r="C30" s="3" t="s">
        <v>43</v>
      </c>
      <c r="D30" s="3" t="s">
        <v>49</v>
      </c>
      <c r="E30" s="3" t="s">
        <v>39</v>
      </c>
    </row>
    <row r="31" spans="1:5" s="1" customFormat="1" x14ac:dyDescent="0.25">
      <c r="A31" s="3" t="s">
        <v>77</v>
      </c>
      <c r="B31" s="3" t="s">
        <v>83</v>
      </c>
      <c r="C31" s="3" t="s">
        <v>84</v>
      </c>
      <c r="D31" s="3" t="s">
        <v>49</v>
      </c>
      <c r="E31" s="3" t="s">
        <v>39</v>
      </c>
    </row>
    <row r="32" spans="1:5" s="1" customFormat="1" x14ac:dyDescent="0.25">
      <c r="A32" s="3" t="s">
        <v>77</v>
      </c>
      <c r="B32" s="3" t="s">
        <v>85</v>
      </c>
      <c r="C32" s="3" t="s">
        <v>43</v>
      </c>
      <c r="D32" s="3" t="s">
        <v>49</v>
      </c>
      <c r="E32" s="3" t="s">
        <v>39</v>
      </c>
    </row>
    <row r="33" spans="1:5" s="1" customFormat="1" x14ac:dyDescent="0.25">
      <c r="A33" s="3" t="s">
        <v>77</v>
      </c>
      <c r="B33" s="3" t="s">
        <v>86</v>
      </c>
      <c r="C33" s="3" t="s">
        <v>43</v>
      </c>
      <c r="D33" s="3" t="s">
        <v>49</v>
      </c>
      <c r="E33" s="3" t="s">
        <v>39</v>
      </c>
    </row>
    <row r="34" spans="1:5" s="1" customFormat="1" x14ac:dyDescent="0.25">
      <c r="A34" s="3" t="s">
        <v>77</v>
      </c>
      <c r="B34" s="3" t="s">
        <v>87</v>
      </c>
      <c r="C34" s="3" t="s">
        <v>43</v>
      </c>
      <c r="D34" s="3" t="s">
        <v>49</v>
      </c>
      <c r="E34" s="3" t="s">
        <v>39</v>
      </c>
    </row>
    <row r="35" spans="1:5" s="1" customFormat="1" x14ac:dyDescent="0.25">
      <c r="A35" s="3" t="s">
        <v>77</v>
      </c>
      <c r="B35" s="3" t="s">
        <v>88</v>
      </c>
      <c r="C35" s="3" t="s">
        <v>43</v>
      </c>
      <c r="D35" s="3" t="s">
        <v>72</v>
      </c>
      <c r="E35" s="3" t="s">
        <v>39</v>
      </c>
    </row>
    <row r="36" spans="1:5" s="1" customFormat="1" x14ac:dyDescent="0.25">
      <c r="A36" s="3" t="s">
        <v>77</v>
      </c>
      <c r="B36" s="3" t="s">
        <v>89</v>
      </c>
      <c r="C36" s="3" t="s">
        <v>43</v>
      </c>
      <c r="D36" s="3" t="s">
        <v>1</v>
      </c>
      <c r="E36" s="3" t="s">
        <v>39</v>
      </c>
    </row>
    <row r="37" spans="1:5" s="1" customFormat="1" x14ac:dyDescent="0.25">
      <c r="A37" s="3" t="s">
        <v>90</v>
      </c>
      <c r="B37" s="3" t="s">
        <v>91</v>
      </c>
      <c r="C37" s="3" t="s">
        <v>92</v>
      </c>
      <c r="D37" s="3" t="s">
        <v>1</v>
      </c>
      <c r="E37" s="3" t="s">
        <v>35</v>
      </c>
    </row>
    <row r="38" spans="1:5" s="1" customFormat="1" x14ac:dyDescent="0.25">
      <c r="A38" s="3" t="s">
        <v>90</v>
      </c>
      <c r="B38" s="3" t="s">
        <v>93</v>
      </c>
      <c r="C38" s="3" t="s">
        <v>43</v>
      </c>
      <c r="D38" s="3" t="s">
        <v>1</v>
      </c>
      <c r="E38" s="3" t="s">
        <v>39</v>
      </c>
    </row>
    <row r="39" spans="1:5" s="1" customFormat="1" x14ac:dyDescent="0.25">
      <c r="A39" s="3" t="s">
        <v>90</v>
      </c>
      <c r="B39" s="3" t="s">
        <v>94</v>
      </c>
      <c r="C39" s="3" t="s">
        <v>43</v>
      </c>
      <c r="D39" s="3" t="s">
        <v>1</v>
      </c>
      <c r="E39" s="3" t="s">
        <v>39</v>
      </c>
    </row>
    <row r="40" spans="1:5" s="1" customFormat="1" x14ac:dyDescent="0.25">
      <c r="A40" s="3" t="s">
        <v>90</v>
      </c>
      <c r="B40" s="3" t="s">
        <v>95</v>
      </c>
      <c r="C40" s="3" t="s">
        <v>96</v>
      </c>
      <c r="D40" s="3" t="s">
        <v>49</v>
      </c>
      <c r="E40" s="3" t="s">
        <v>35</v>
      </c>
    </row>
    <row r="41" spans="1:5" s="1" customFormat="1" x14ac:dyDescent="0.25">
      <c r="A41" s="3" t="s">
        <v>90</v>
      </c>
      <c r="B41" s="3" t="s">
        <v>97</v>
      </c>
      <c r="C41" s="3" t="s">
        <v>43</v>
      </c>
      <c r="D41" s="3" t="s">
        <v>49</v>
      </c>
      <c r="E41" s="3" t="s">
        <v>39</v>
      </c>
    </row>
    <row r="42" spans="1:5" s="1" customFormat="1" x14ac:dyDescent="0.25">
      <c r="A42" s="3" t="s">
        <v>90</v>
      </c>
      <c r="B42" s="3" t="s">
        <v>98</v>
      </c>
      <c r="C42" s="3" t="s">
        <v>99</v>
      </c>
      <c r="D42" s="3" t="s">
        <v>1</v>
      </c>
      <c r="E42" s="3" t="s">
        <v>39</v>
      </c>
    </row>
    <row r="43" spans="1:5" s="1" customFormat="1" x14ac:dyDescent="0.25">
      <c r="A43" s="3" t="s">
        <v>90</v>
      </c>
      <c r="B43" s="3" t="s">
        <v>100</v>
      </c>
      <c r="C43" s="3" t="s">
        <v>43</v>
      </c>
      <c r="D43" s="3" t="s">
        <v>1</v>
      </c>
      <c r="E43" s="3" t="s">
        <v>39</v>
      </c>
    </row>
    <row r="44" spans="1:5" s="1" customFormat="1" x14ac:dyDescent="0.25">
      <c r="A44" s="3" t="s">
        <v>90</v>
      </c>
      <c r="B44" s="3" t="s">
        <v>101</v>
      </c>
      <c r="C44" s="3" t="s">
        <v>43</v>
      </c>
      <c r="D44" s="3" t="s">
        <v>1</v>
      </c>
      <c r="E44" s="3" t="s">
        <v>39</v>
      </c>
    </row>
    <row r="45" spans="1:5" s="1" customFormat="1" x14ac:dyDescent="0.25">
      <c r="A45" s="3" t="s">
        <v>102</v>
      </c>
      <c r="B45" s="3" t="s">
        <v>103</v>
      </c>
      <c r="C45" s="3" t="s">
        <v>104</v>
      </c>
      <c r="D45" s="3" t="s">
        <v>1</v>
      </c>
      <c r="E45" s="3" t="s">
        <v>35</v>
      </c>
    </row>
    <row r="46" spans="1:5" s="1" customFormat="1" x14ac:dyDescent="0.25">
      <c r="A46" s="3" t="s">
        <v>102</v>
      </c>
      <c r="B46" s="3" t="s">
        <v>81</v>
      </c>
      <c r="C46" s="3" t="s">
        <v>49</v>
      </c>
      <c r="D46" s="3" t="s">
        <v>1</v>
      </c>
      <c r="E46" s="3" t="s">
        <v>35</v>
      </c>
    </row>
    <row r="47" spans="1:5" s="1" customFormat="1" x14ac:dyDescent="0.25">
      <c r="A47" s="3" t="s">
        <v>102</v>
      </c>
      <c r="B47" s="3" t="s">
        <v>105</v>
      </c>
      <c r="C47" s="3" t="s">
        <v>39</v>
      </c>
      <c r="D47" s="3" t="s">
        <v>1</v>
      </c>
      <c r="E47" s="3" t="s">
        <v>35</v>
      </c>
    </row>
    <row r="48" spans="1:5" s="1" customFormat="1" x14ac:dyDescent="0.25">
      <c r="A48" s="3" t="s">
        <v>102</v>
      </c>
      <c r="B48" s="3" t="s">
        <v>106</v>
      </c>
      <c r="C48" s="3" t="s">
        <v>43</v>
      </c>
      <c r="D48" s="3" t="s">
        <v>1</v>
      </c>
      <c r="E48" s="3" t="s">
        <v>35</v>
      </c>
    </row>
    <row r="49" spans="1:5" s="1" customFormat="1" x14ac:dyDescent="0.25">
      <c r="A49" s="3" t="s">
        <v>102</v>
      </c>
      <c r="B49" s="3" t="s">
        <v>107</v>
      </c>
      <c r="C49" s="3" t="s">
        <v>49</v>
      </c>
      <c r="D49" s="3" t="s">
        <v>1</v>
      </c>
      <c r="E49" s="3" t="s">
        <v>35</v>
      </c>
    </row>
    <row r="50" spans="1:5" s="1" customFormat="1" x14ac:dyDescent="0.25">
      <c r="A50" s="3" t="s">
        <v>102</v>
      </c>
      <c r="B50" s="3" t="s">
        <v>108</v>
      </c>
      <c r="C50" s="3" t="s">
        <v>43</v>
      </c>
      <c r="D50" s="3" t="s">
        <v>60</v>
      </c>
      <c r="E50" s="3" t="s">
        <v>35</v>
      </c>
    </row>
    <row r="51" spans="1:5" s="1" customFormat="1" x14ac:dyDescent="0.25">
      <c r="A51" s="3" t="s">
        <v>102</v>
      </c>
      <c r="B51" s="3" t="s">
        <v>109</v>
      </c>
      <c r="C51" s="3" t="s">
        <v>43</v>
      </c>
      <c r="D51" s="3" t="s">
        <v>72</v>
      </c>
      <c r="E51" s="3" t="s">
        <v>35</v>
      </c>
    </row>
    <row r="52" spans="1:5" s="1" customFormat="1" x14ac:dyDescent="0.25">
      <c r="A52" s="3" t="s">
        <v>102</v>
      </c>
      <c r="B52" s="3" t="s">
        <v>110</v>
      </c>
      <c r="C52" s="3" t="s">
        <v>43</v>
      </c>
      <c r="D52" s="3" t="s">
        <v>60</v>
      </c>
      <c r="E52" s="3" t="s">
        <v>39</v>
      </c>
    </row>
    <row r="53" spans="1:5" s="1" customFormat="1" x14ac:dyDescent="0.25">
      <c r="A53" s="3" t="s">
        <v>102</v>
      </c>
      <c r="B53" s="3" t="s">
        <v>111</v>
      </c>
      <c r="C53" s="3" t="s">
        <v>112</v>
      </c>
      <c r="D53" s="3" t="s">
        <v>1</v>
      </c>
      <c r="E53" s="3" t="s">
        <v>35</v>
      </c>
    </row>
    <row r="54" spans="1:5" s="1" customFormat="1" x14ac:dyDescent="0.25">
      <c r="A54" s="3" t="s">
        <v>102</v>
      </c>
      <c r="B54" s="3" t="s">
        <v>113</v>
      </c>
      <c r="C54" s="3" t="s">
        <v>43</v>
      </c>
      <c r="D54" s="3" t="s">
        <v>1</v>
      </c>
      <c r="E54" s="3" t="s">
        <v>35</v>
      </c>
    </row>
    <row r="55" spans="1:5" s="1" customFormat="1" x14ac:dyDescent="0.25">
      <c r="A55" s="3" t="s">
        <v>102</v>
      </c>
      <c r="B55" s="3" t="s">
        <v>114</v>
      </c>
      <c r="C55" s="3" t="s">
        <v>39</v>
      </c>
      <c r="D55" s="3" t="s">
        <v>1</v>
      </c>
      <c r="E55" s="3" t="s">
        <v>35</v>
      </c>
    </row>
    <row r="56" spans="1:5" s="1" customFormat="1" x14ac:dyDescent="0.25">
      <c r="A56" s="3" t="s">
        <v>102</v>
      </c>
      <c r="B56" s="3" t="s">
        <v>115</v>
      </c>
      <c r="C56" s="3" t="s">
        <v>43</v>
      </c>
      <c r="D56" s="3" t="s">
        <v>1</v>
      </c>
      <c r="E56" s="3" t="s">
        <v>35</v>
      </c>
    </row>
    <row r="57" spans="1:5" s="1" customFormat="1" x14ac:dyDescent="0.25">
      <c r="A57" s="3" t="s">
        <v>102</v>
      </c>
      <c r="B57" s="3" t="s">
        <v>116</v>
      </c>
      <c r="C57" s="3" t="s">
        <v>43</v>
      </c>
      <c r="D57" s="3" t="s">
        <v>1</v>
      </c>
      <c r="E57" s="3" t="s">
        <v>39</v>
      </c>
    </row>
    <row r="58" spans="1:5" s="1" customFormat="1" x14ac:dyDescent="0.25">
      <c r="A58" s="3" t="s">
        <v>102</v>
      </c>
      <c r="B58" s="3" t="s">
        <v>117</v>
      </c>
      <c r="C58" s="3" t="s">
        <v>43</v>
      </c>
      <c r="D58" s="3" t="s">
        <v>1</v>
      </c>
      <c r="E58" s="3" t="s">
        <v>39</v>
      </c>
    </row>
    <row r="59" spans="1:5" s="1" customFormat="1" x14ac:dyDescent="0.25">
      <c r="A59" s="3" t="s">
        <v>102</v>
      </c>
      <c r="B59" s="3" t="s">
        <v>118</v>
      </c>
      <c r="C59" s="3" t="s">
        <v>43</v>
      </c>
      <c r="D59" s="3" t="s">
        <v>49</v>
      </c>
      <c r="E59" s="3" t="s">
        <v>39</v>
      </c>
    </row>
    <row r="60" spans="1:5" s="1" customFormat="1" x14ac:dyDescent="0.25">
      <c r="A60" s="3" t="s">
        <v>102</v>
      </c>
      <c r="B60" s="3" t="s">
        <v>119</v>
      </c>
      <c r="C60" s="3" t="s">
        <v>35</v>
      </c>
      <c r="D60" s="3" t="s">
        <v>1</v>
      </c>
      <c r="E60" s="3" t="s">
        <v>39</v>
      </c>
    </row>
    <row r="61" spans="1:5" s="1" customFormat="1" x14ac:dyDescent="0.25">
      <c r="A61" s="3" t="s">
        <v>102</v>
      </c>
      <c r="B61" s="3" t="s">
        <v>120</v>
      </c>
      <c r="C61" s="3" t="s">
        <v>35</v>
      </c>
      <c r="D61" s="3" t="s">
        <v>1</v>
      </c>
      <c r="E61" s="3" t="s">
        <v>39</v>
      </c>
    </row>
    <row r="62" spans="1:5" s="1" customFormat="1" x14ac:dyDescent="0.25">
      <c r="A62" s="3" t="s">
        <v>102</v>
      </c>
      <c r="B62" s="3" t="s">
        <v>121</v>
      </c>
      <c r="C62" s="3" t="s">
        <v>122</v>
      </c>
      <c r="D62" s="3" t="s">
        <v>1</v>
      </c>
      <c r="E62" s="3" t="s">
        <v>35</v>
      </c>
    </row>
    <row r="63" spans="1:5" s="1" customFormat="1" x14ac:dyDescent="0.25">
      <c r="A63" s="3" t="s">
        <v>102</v>
      </c>
      <c r="B63" s="3" t="s">
        <v>123</v>
      </c>
      <c r="C63" s="3" t="s">
        <v>49</v>
      </c>
      <c r="D63" s="3" t="s">
        <v>1</v>
      </c>
      <c r="E63" s="3" t="s">
        <v>35</v>
      </c>
    </row>
    <row r="64" spans="1:5" s="1" customFormat="1" x14ac:dyDescent="0.25">
      <c r="A64" s="3" t="s">
        <v>102</v>
      </c>
      <c r="B64" s="3" t="s">
        <v>124</v>
      </c>
      <c r="C64" s="3" t="s">
        <v>125</v>
      </c>
      <c r="D64" s="3" t="s">
        <v>1</v>
      </c>
      <c r="E64" s="3" t="s">
        <v>35</v>
      </c>
    </row>
    <row r="65" spans="1:5" s="1" customFormat="1" x14ac:dyDescent="0.25">
      <c r="A65" s="3" t="s">
        <v>102</v>
      </c>
      <c r="B65" s="3" t="s">
        <v>126</v>
      </c>
      <c r="C65" s="3" t="s">
        <v>43</v>
      </c>
      <c r="D65" s="3" t="s">
        <v>49</v>
      </c>
      <c r="E65" s="3" t="s">
        <v>39</v>
      </c>
    </row>
    <row r="66" spans="1:5" s="1" customFormat="1" x14ac:dyDescent="0.25">
      <c r="A66" s="3" t="s">
        <v>102</v>
      </c>
      <c r="B66" s="3" t="s">
        <v>127</v>
      </c>
      <c r="C66" s="3" t="s">
        <v>128</v>
      </c>
      <c r="D66" s="3" t="s">
        <v>60</v>
      </c>
      <c r="E66" s="3" t="s">
        <v>35</v>
      </c>
    </row>
    <row r="67" spans="1:5" s="1" customFormat="1" x14ac:dyDescent="0.25">
      <c r="A67" s="3" t="s">
        <v>102</v>
      </c>
      <c r="B67" s="3" t="s">
        <v>129</v>
      </c>
      <c r="C67" s="3" t="s">
        <v>130</v>
      </c>
      <c r="D67" s="3" t="s">
        <v>72</v>
      </c>
      <c r="E67" s="3" t="s">
        <v>35</v>
      </c>
    </row>
    <row r="68" spans="1:5" s="1" customFormat="1" x14ac:dyDescent="0.25">
      <c r="A68" s="3" t="s">
        <v>102</v>
      </c>
      <c r="B68" s="3" t="s">
        <v>131</v>
      </c>
      <c r="C68" s="3" t="s">
        <v>43</v>
      </c>
      <c r="D68" s="3" t="s">
        <v>49</v>
      </c>
      <c r="E68" s="3" t="s">
        <v>39</v>
      </c>
    </row>
    <row r="69" spans="1:5" s="1" customFormat="1" x14ac:dyDescent="0.25">
      <c r="A69" s="3" t="s">
        <v>102</v>
      </c>
      <c r="B69" s="3" t="s">
        <v>132</v>
      </c>
      <c r="C69" s="3" t="s">
        <v>43</v>
      </c>
      <c r="D69" s="3" t="s">
        <v>1</v>
      </c>
      <c r="E69" s="3" t="s">
        <v>39</v>
      </c>
    </row>
    <row r="70" spans="1:5" s="1" customFormat="1" x14ac:dyDescent="0.25">
      <c r="A70" s="3" t="s">
        <v>102</v>
      </c>
      <c r="B70" s="3" t="s">
        <v>133</v>
      </c>
      <c r="C70" s="3" t="s">
        <v>43</v>
      </c>
      <c r="D70" s="3" t="s">
        <v>1</v>
      </c>
      <c r="E70" s="3" t="s">
        <v>39</v>
      </c>
    </row>
    <row r="71" spans="1:5" s="1" customFormat="1" x14ac:dyDescent="0.25">
      <c r="A71" s="3" t="s">
        <v>102</v>
      </c>
      <c r="B71" s="3" t="s">
        <v>134</v>
      </c>
      <c r="C71" s="3" t="s">
        <v>43</v>
      </c>
      <c r="D71" s="3" t="s">
        <v>1</v>
      </c>
      <c r="E71" s="3" t="s">
        <v>39</v>
      </c>
    </row>
    <row r="72" spans="1:5" s="1" customFormat="1" x14ac:dyDescent="0.25">
      <c r="A72" s="3" t="s">
        <v>102</v>
      </c>
      <c r="B72" s="3" t="s">
        <v>135</v>
      </c>
      <c r="C72" s="3" t="s">
        <v>43</v>
      </c>
      <c r="D72" s="3" t="s">
        <v>60</v>
      </c>
      <c r="E72" s="3" t="s">
        <v>39</v>
      </c>
    </row>
    <row r="73" spans="1:5" s="1" customFormat="1" x14ac:dyDescent="0.25">
      <c r="A73" s="3" t="s">
        <v>102</v>
      </c>
      <c r="B73" s="3" t="s">
        <v>136</v>
      </c>
      <c r="C73" s="3" t="s">
        <v>43</v>
      </c>
      <c r="D73" s="3" t="s">
        <v>49</v>
      </c>
      <c r="E73" s="3" t="s">
        <v>39</v>
      </c>
    </row>
    <row r="74" spans="1:5" s="1" customFormat="1" x14ac:dyDescent="0.25">
      <c r="A74" s="3" t="s">
        <v>102</v>
      </c>
      <c r="B74" s="3" t="s">
        <v>137</v>
      </c>
      <c r="C74" s="3" t="s">
        <v>43</v>
      </c>
      <c r="D74" s="3" t="s">
        <v>49</v>
      </c>
      <c r="E74" s="3" t="s">
        <v>39</v>
      </c>
    </row>
    <row r="75" spans="1:5" s="1" customFormat="1" x14ac:dyDescent="0.25">
      <c r="A75" s="3" t="s">
        <v>102</v>
      </c>
      <c r="B75" s="3" t="s">
        <v>138</v>
      </c>
      <c r="C75" s="3" t="s">
        <v>43</v>
      </c>
      <c r="D75" s="3" t="s">
        <v>49</v>
      </c>
      <c r="E75" s="3" t="s">
        <v>39</v>
      </c>
    </row>
    <row r="76" spans="1:5" s="1" customFormat="1" x14ac:dyDescent="0.25">
      <c r="A76" s="3" t="s">
        <v>102</v>
      </c>
      <c r="B76" s="3" t="s">
        <v>139</v>
      </c>
      <c r="C76" s="3" t="s">
        <v>43</v>
      </c>
      <c r="D76" s="3" t="s">
        <v>49</v>
      </c>
      <c r="E76" s="3" t="s">
        <v>39</v>
      </c>
    </row>
    <row r="77" spans="1:5" s="1" customFormat="1" x14ac:dyDescent="0.25">
      <c r="A77" s="3" t="s">
        <v>102</v>
      </c>
      <c r="B77" s="3" t="s">
        <v>140</v>
      </c>
      <c r="C77" s="3" t="s">
        <v>43</v>
      </c>
      <c r="D77" s="3" t="s">
        <v>1</v>
      </c>
      <c r="E77" s="3" t="s">
        <v>39</v>
      </c>
    </row>
    <row r="78" spans="1:5" s="1" customFormat="1" x14ac:dyDescent="0.25">
      <c r="A78" s="3" t="s">
        <v>102</v>
      </c>
      <c r="B78" s="3" t="s">
        <v>141</v>
      </c>
      <c r="C78" s="3" t="s">
        <v>43</v>
      </c>
      <c r="D78" s="3" t="s">
        <v>1</v>
      </c>
      <c r="E78" s="3" t="s">
        <v>39</v>
      </c>
    </row>
    <row r="79" spans="1:5" s="1" customFormat="1" x14ac:dyDescent="0.25">
      <c r="A79" s="3" t="s">
        <v>142</v>
      </c>
      <c r="B79" s="3" t="s">
        <v>143</v>
      </c>
      <c r="C79" s="3" t="s">
        <v>144</v>
      </c>
      <c r="D79" s="3" t="s">
        <v>1</v>
      </c>
      <c r="E79" s="3" t="s">
        <v>35</v>
      </c>
    </row>
    <row r="80" spans="1:5" s="1" customFormat="1" x14ac:dyDescent="0.25">
      <c r="A80" s="3" t="s">
        <v>142</v>
      </c>
      <c r="B80" s="3" t="s">
        <v>145</v>
      </c>
      <c r="C80" s="3" t="s">
        <v>43</v>
      </c>
      <c r="D80" s="3" t="s">
        <v>1</v>
      </c>
      <c r="E80" s="3" t="s">
        <v>39</v>
      </c>
    </row>
    <row r="81" spans="1:5" s="1" customFormat="1" x14ac:dyDescent="0.25">
      <c r="A81" s="3" t="s">
        <v>142</v>
      </c>
      <c r="B81" s="3" t="s">
        <v>146</v>
      </c>
      <c r="C81" s="3" t="s">
        <v>147</v>
      </c>
      <c r="D81" s="3" t="s">
        <v>1</v>
      </c>
      <c r="E81" s="3" t="s">
        <v>35</v>
      </c>
    </row>
    <row r="82" spans="1:5" s="1" customFormat="1" x14ac:dyDescent="0.25">
      <c r="A82" s="3" t="s">
        <v>142</v>
      </c>
      <c r="B82" s="3" t="s">
        <v>148</v>
      </c>
      <c r="C82" s="3" t="s">
        <v>43</v>
      </c>
      <c r="D82" s="3" t="s">
        <v>1</v>
      </c>
      <c r="E82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style="8" customWidth="1"/>
    <col min="3" max="3" width="14" customWidth="1"/>
    <col min="4" max="4" width="54" customWidth="1"/>
  </cols>
  <sheetData>
    <row r="1" ht="22" customHeight="1" spans="1:4" s="4" customFormat="1" x14ac:dyDescent="0.25">
      <c r="A1" s="5" t="s">
        <v>4</v>
      </c>
      <c r="B1" s="9" t="s">
        <v>5</v>
      </c>
      <c r="C1" s="5" t="s">
        <v>32</v>
      </c>
      <c r="D1" s="5" t="s">
        <v>149</v>
      </c>
    </row>
    <row r="2" spans="1:4" s="1" customFormat="1" x14ac:dyDescent="0.25">
      <c r="A2" s="3" t="s">
        <v>150</v>
      </c>
      <c r="B2" s="10" t="s">
        <v>151</v>
      </c>
      <c r="C2" s="3" t="s">
        <v>1</v>
      </c>
      <c r="D2" s="3" t="s">
        <v>152</v>
      </c>
    </row>
    <row r="3" spans="1:4" s="1" customFormat="1" x14ac:dyDescent="0.25">
      <c r="A3" s="3" t="s">
        <v>103</v>
      </c>
      <c r="B3" s="10" t="s">
        <v>153</v>
      </c>
      <c r="C3" s="3" t="s">
        <v>1</v>
      </c>
      <c r="D3" s="3" t="s">
        <v>154</v>
      </c>
    </row>
    <row r="4" spans="1:4" s="1" customFormat="1" x14ac:dyDescent="0.25">
      <c r="A4" s="3" t="s">
        <v>155</v>
      </c>
      <c r="B4" s="10" t="s">
        <v>156</v>
      </c>
      <c r="C4" s="3" t="s">
        <v>1</v>
      </c>
      <c r="D4" s="3" t="s">
        <v>157</v>
      </c>
    </row>
    <row r="5" spans="1:4" s="1" customFormat="1" x14ac:dyDescent="0.25">
      <c r="A5" s="3" t="s">
        <v>158</v>
      </c>
      <c r="B5" s="10" t="s">
        <v>159</v>
      </c>
      <c r="C5" s="3" t="s">
        <v>1</v>
      </c>
      <c r="D5" s="3" t="s">
        <v>160</v>
      </c>
    </row>
    <row r="6" spans="1:4" s="1" customFormat="1" x14ac:dyDescent="0.25">
      <c r="A6" s="3" t="s">
        <v>106</v>
      </c>
      <c r="B6" s="10" t="s">
        <v>161</v>
      </c>
      <c r="C6" s="3" t="s">
        <v>1</v>
      </c>
      <c r="D6" s="3" t="s">
        <v>162</v>
      </c>
    </row>
    <row r="7" spans="1:4" s="1" customFormat="1" x14ac:dyDescent="0.25">
      <c r="A7" s="3" t="s">
        <v>109</v>
      </c>
      <c r="B7" s="10" t="s">
        <v>161</v>
      </c>
      <c r="C7" s="3" t="s">
        <v>1</v>
      </c>
      <c r="D7" s="3" t="s">
        <v>163</v>
      </c>
    </row>
    <row r="8" spans="1:4" s="1" customFormat="1" x14ac:dyDescent="0.25">
      <c r="A8" s="3" t="s">
        <v>164</v>
      </c>
      <c r="B8" s="10" t="s">
        <v>161</v>
      </c>
      <c r="C8" s="3" t="s">
        <v>1</v>
      </c>
      <c r="D8" s="3" t="s">
        <v>163</v>
      </c>
    </row>
    <row r="9" spans="1:4" s="1" customFormat="1" x14ac:dyDescent="0.25">
      <c r="A9" s="3" t="s">
        <v>121</v>
      </c>
      <c r="B9" s="10" t="s">
        <v>165</v>
      </c>
      <c r="C9" s="3" t="s">
        <v>1</v>
      </c>
      <c r="D9" s="3" t="s">
        <v>166</v>
      </c>
    </row>
    <row r="10" spans="1:4" s="1" customFormat="1" x14ac:dyDescent="0.25">
      <c r="A10" s="3" t="s">
        <v>167</v>
      </c>
      <c r="B10" s="10" t="s">
        <v>168</v>
      </c>
      <c r="C10" s="3" t="s">
        <v>1</v>
      </c>
      <c r="D10" s="3" t="s">
        <v>169</v>
      </c>
    </row>
    <row r="11" spans="1:4" s="1" customFormat="1" x14ac:dyDescent="0.25">
      <c r="A11" s="3" t="s">
        <v>170</v>
      </c>
      <c r="B11" s="10" t="s">
        <v>171</v>
      </c>
      <c r="C11" s="3" t="s">
        <v>1</v>
      </c>
      <c r="D11" s="3" t="s">
        <v>172</v>
      </c>
    </row>
    <row r="12" spans="1:4" s="1" customFormat="1" x14ac:dyDescent="0.25">
      <c r="A12" s="3" t="s">
        <v>173</v>
      </c>
      <c r="B12" s="10" t="s">
        <v>174</v>
      </c>
      <c r="C12" s="3" t="s">
        <v>1</v>
      </c>
      <c r="D12" s="3" t="s">
        <v>175</v>
      </c>
    </row>
    <row r="13" spans="1:4" s="1" customFormat="1" x14ac:dyDescent="0.25">
      <c r="A13" s="3" t="s">
        <v>176</v>
      </c>
      <c r="B13" s="10" t="s">
        <v>177</v>
      </c>
      <c r="C13" s="3" t="s">
        <v>1</v>
      </c>
      <c r="D13" s="3" t="s">
        <v>178</v>
      </c>
    </row>
    <row r="14" spans="1:4" s="1" customFormat="1" x14ac:dyDescent="0.25">
      <c r="A14" s="3" t="s">
        <v>179</v>
      </c>
      <c r="B14" s="10" t="s">
        <v>180</v>
      </c>
      <c r="C14" s="3" t="s">
        <v>1</v>
      </c>
      <c r="D14" s="3" t="s">
        <v>181</v>
      </c>
    </row>
    <row r="15" spans="1:4" s="1" customFormat="1" x14ac:dyDescent="0.25">
      <c r="A15" s="3" t="s">
        <v>182</v>
      </c>
      <c r="B15" s="10" t="s">
        <v>183</v>
      </c>
      <c r="C15" s="3" t="s">
        <v>1</v>
      </c>
      <c r="D15" s="3" t="s">
        <v>184</v>
      </c>
    </row>
    <row r="16" spans="1:4" s="1" customFormat="1" x14ac:dyDescent="0.25">
      <c r="A16" s="3" t="s">
        <v>185</v>
      </c>
      <c r="B16" s="10" t="s">
        <v>84</v>
      </c>
      <c r="C16" s="3" t="s">
        <v>1</v>
      </c>
      <c r="D16" s="3" t="s">
        <v>186</v>
      </c>
    </row>
    <row r="17" spans="1:4" s="1" customFormat="1" x14ac:dyDescent="0.25">
      <c r="A17" s="3" t="s">
        <v>187</v>
      </c>
      <c r="B17" s="10" t="s">
        <v>188</v>
      </c>
      <c r="C17" s="3" t="s">
        <v>1</v>
      </c>
      <c r="D17" s="3" t="s">
        <v>189</v>
      </c>
    </row>
    <row r="18" spans="1:4" s="1" customFormat="1" x14ac:dyDescent="0.25">
      <c r="A18" s="3" t="s">
        <v>190</v>
      </c>
      <c r="B18" s="10" t="s">
        <v>191</v>
      </c>
      <c r="C18" s="3" t="s">
        <v>1</v>
      </c>
      <c r="D18" s="3" t="s">
        <v>192</v>
      </c>
    </row>
    <row r="19" spans="1:4" s="1" customFormat="1" x14ac:dyDescent="0.25">
      <c r="A19" s="3" t="s">
        <v>193</v>
      </c>
      <c r="B19" s="10" t="s">
        <v>194</v>
      </c>
      <c r="C19" s="3" t="s">
        <v>1</v>
      </c>
      <c r="D19" s="3" t="s">
        <v>195</v>
      </c>
    </row>
    <row r="20" spans="1:4" s="1" customFormat="1" x14ac:dyDescent="0.25">
      <c r="A20" s="3" t="s">
        <v>196</v>
      </c>
      <c r="B20" s="10" t="s">
        <v>197</v>
      </c>
      <c r="C20" s="3" t="s">
        <v>1</v>
      </c>
      <c r="D20" s="3" t="s">
        <v>198</v>
      </c>
    </row>
    <row r="21" spans="1:4" s="1" customFormat="1" x14ac:dyDescent="0.25">
      <c r="A21" s="3" t="s">
        <v>199</v>
      </c>
      <c r="B21" s="10" t="s">
        <v>161</v>
      </c>
      <c r="C21" s="3" t="s">
        <v>1</v>
      </c>
      <c r="D21" s="3" t="s">
        <v>200</v>
      </c>
    </row>
    <row r="22" spans="1:4" s="1" customFormat="1" x14ac:dyDescent="0.25">
      <c r="A22" s="3" t="s">
        <v>201</v>
      </c>
      <c r="B22" s="10" t="s">
        <v>202</v>
      </c>
      <c r="C22" s="3" t="s">
        <v>1</v>
      </c>
      <c r="D22" s="3" t="s">
        <v>203</v>
      </c>
    </row>
    <row r="23" spans="1:4" s="1" customFormat="1" x14ac:dyDescent="0.25">
      <c r="A23" s="3" t="s">
        <v>204</v>
      </c>
      <c r="B23" s="10" t="s">
        <v>205</v>
      </c>
      <c r="C23" s="3" t="s">
        <v>1</v>
      </c>
      <c r="D23" s="3" t="s">
        <v>206</v>
      </c>
    </row>
    <row r="24" spans="1:4" s="1" customFormat="1" x14ac:dyDescent="0.25">
      <c r="A24" s="3" t="s">
        <v>207</v>
      </c>
      <c r="B24" s="10" t="s">
        <v>208</v>
      </c>
      <c r="C24" s="3" t="s">
        <v>1</v>
      </c>
      <c r="D24" s="3" t="s">
        <v>206</v>
      </c>
    </row>
    <row r="25" spans="1:4" s="1" customFormat="1" x14ac:dyDescent="0.25">
      <c r="A25" s="3" t="s">
        <v>209</v>
      </c>
      <c r="B25" s="10" t="s">
        <v>69</v>
      </c>
      <c r="C25" s="3" t="s">
        <v>1</v>
      </c>
      <c r="D25" s="3" t="s">
        <v>184</v>
      </c>
    </row>
    <row r="26" spans="1:4" s="1" customFormat="1" x14ac:dyDescent="0.25">
      <c r="A26" s="3" t="s">
        <v>210</v>
      </c>
      <c r="B26" s="10" t="s">
        <v>62</v>
      </c>
      <c r="C26" s="3" t="s">
        <v>49</v>
      </c>
      <c r="D26" s="3" t="s">
        <v>211</v>
      </c>
    </row>
    <row r="27" spans="1:4" s="1" customFormat="1" x14ac:dyDescent="0.25">
      <c r="A27" s="3" t="s">
        <v>212</v>
      </c>
      <c r="B27" s="10" t="s">
        <v>64</v>
      </c>
      <c r="C27" s="3" t="s">
        <v>49</v>
      </c>
      <c r="D27" s="3" t="s">
        <v>211</v>
      </c>
    </row>
    <row r="28" spans="1:4" s="1" customFormat="1" x14ac:dyDescent="0.25">
      <c r="A28" s="3" t="s">
        <v>213</v>
      </c>
      <c r="B28" s="10" t="s">
        <v>171</v>
      </c>
      <c r="C28" s="3" t="s">
        <v>49</v>
      </c>
      <c r="D28" s="3" t="s">
        <v>214</v>
      </c>
    </row>
    <row r="29" spans="1:4" s="1" customFormat="1" x14ac:dyDescent="0.25">
      <c r="A29" s="3" t="s">
        <v>215</v>
      </c>
      <c r="B29" s="10" t="s">
        <v>153</v>
      </c>
      <c r="C29" s="3" t="s">
        <v>1</v>
      </c>
      <c r="D29" s="3" t="s">
        <v>156</v>
      </c>
    </row>
    <row r="30" spans="1:4" s="1" customFormat="1" x14ac:dyDescent="0.25">
      <c r="A30" s="3" t="s">
        <v>199</v>
      </c>
      <c r="B30" s="10" t="s">
        <v>161</v>
      </c>
      <c r="C30" s="3" t="s">
        <v>60</v>
      </c>
      <c r="D30" s="3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4" customWidth="1"/>
    <col min="3" max="3" width="52" customWidth="1"/>
    <col min="4" max="5" width="22" customWidth="1"/>
    <col min="6" max="8" width="16" customWidth="1"/>
    <col min="9" max="9" width="22" style="8" customWidth="1"/>
  </cols>
  <sheetData>
    <row r="1" ht="22" customHeight="1" spans="1:9" s="4" customFormat="1" x14ac:dyDescent="0.25">
      <c r="A1" s="5" t="s">
        <v>4</v>
      </c>
      <c r="B1" s="5" t="s">
        <v>216</v>
      </c>
      <c r="C1" s="5" t="s">
        <v>217</v>
      </c>
      <c r="D1" s="5" t="s">
        <v>218</v>
      </c>
      <c r="E1" s="5" t="s">
        <v>219</v>
      </c>
      <c r="F1" s="5" t="s">
        <v>220</v>
      </c>
      <c r="G1" s="5" t="s">
        <v>221</v>
      </c>
      <c r="H1" s="5" t="s">
        <v>222</v>
      </c>
      <c r="I1" s="9" t="s">
        <v>223</v>
      </c>
    </row>
    <row r="2" spans="1:9" s="1" customFormat="1" x14ac:dyDescent="0.25">
      <c r="A2" s="3" t="s">
        <v>176</v>
      </c>
      <c r="B2" s="3" t="s">
        <v>178</v>
      </c>
      <c r="C2" s="3" t="s">
        <v>224</v>
      </c>
      <c r="D2" s="3" t="s">
        <v>177</v>
      </c>
      <c r="E2" s="3" t="s">
        <v>225</v>
      </c>
      <c r="F2" s="3">
        <v>900</v>
      </c>
      <c r="G2" s="3">
        <v>85000</v>
      </c>
      <c r="H2" s="3">
        <v>0.65</v>
      </c>
      <c r="I2" s="10">
        <f>F2*G2*H2</f>
        <v>49725000</v>
      </c>
    </row>
    <row r="3" spans="1:9" s="1" customFormat="1" x14ac:dyDescent="0.25">
      <c r="A3" s="3" t="s">
        <v>182</v>
      </c>
      <c r="B3" s="3" t="s">
        <v>226</v>
      </c>
      <c r="C3" s="3" t="s">
        <v>227</v>
      </c>
      <c r="D3" s="3" t="s">
        <v>183</v>
      </c>
      <c r="E3" s="3" t="s">
        <v>184</v>
      </c>
      <c r="F3" s="3">
        <v>585</v>
      </c>
      <c r="G3" s="3">
        <v>35000</v>
      </c>
      <c r="H3" s="3">
        <v>1</v>
      </c>
      <c r="I3" s="10">
        <f>F3*G3*H3</f>
        <v>20475000</v>
      </c>
    </row>
    <row r="4" spans="1:9" s="1" customFormat="1" x14ac:dyDescent="0.25">
      <c r="A4" s="3" t="s">
        <v>228</v>
      </c>
      <c r="B4" s="3" t="s">
        <v>189</v>
      </c>
      <c r="C4" s="3" t="s">
        <v>229</v>
      </c>
      <c r="D4" s="3" t="s">
        <v>188</v>
      </c>
      <c r="E4" s="3" t="s">
        <v>225</v>
      </c>
      <c r="F4" s="3" t="s">
        <v>1</v>
      </c>
      <c r="G4" s="3" t="s">
        <v>1</v>
      </c>
      <c r="H4" s="3" t="s">
        <v>1</v>
      </c>
      <c r="I4" s="10" t="s">
        <v>1</v>
      </c>
    </row>
    <row r="5" spans="1:9" s="1" customFormat="1" x14ac:dyDescent="0.25">
      <c r="A5" s="3" t="s">
        <v>230</v>
      </c>
      <c r="B5" s="3" t="s">
        <v>231</v>
      </c>
      <c r="C5" s="3" t="s">
        <v>232</v>
      </c>
      <c r="D5" s="3" t="s">
        <v>233</v>
      </c>
      <c r="E5" s="3" t="s">
        <v>225</v>
      </c>
      <c r="F5" s="3" t="s">
        <v>1</v>
      </c>
      <c r="G5" s="3" t="s">
        <v>1</v>
      </c>
      <c r="H5" s="3" t="s">
        <v>1</v>
      </c>
      <c r="I5" s="10" t="s">
        <v>1</v>
      </c>
    </row>
    <row r="6" spans="1:9" s="1" customFormat="1" x14ac:dyDescent="0.25">
      <c r="A6" s="3" t="s">
        <v>213</v>
      </c>
      <c r="B6" s="3" t="s">
        <v>234</v>
      </c>
      <c r="C6" s="3" t="s">
        <v>235</v>
      </c>
      <c r="D6" s="3" t="s">
        <v>171</v>
      </c>
      <c r="E6" s="3" t="s">
        <v>225</v>
      </c>
      <c r="F6" s="3">
        <v>45960000</v>
      </c>
      <c r="G6" s="3">
        <v>3</v>
      </c>
      <c r="H6" s="3">
        <v>0</v>
      </c>
      <c r="I6" s="10">
        <f>F6*G6+H6</f>
        <v>137880000</v>
      </c>
    </row>
    <row r="7" spans="1:9" s="1" customFormat="1" x14ac:dyDescent="0.25">
      <c r="A7" s="3" t="s">
        <v>236</v>
      </c>
      <c r="B7" s="3" t="s">
        <v>237</v>
      </c>
      <c r="C7" s="3" t="s">
        <v>238</v>
      </c>
      <c r="D7" s="3" t="s">
        <v>159</v>
      </c>
      <c r="E7" s="3" t="s">
        <v>225</v>
      </c>
      <c r="F7" s="3">
        <v>272640000</v>
      </c>
      <c r="G7" s="3">
        <v>115000000</v>
      </c>
      <c r="H7" s="3" t="s">
        <v>1</v>
      </c>
      <c r="I7" s="10">
        <f>MAX(F7-G7,0)</f>
        <v>157640000</v>
      </c>
    </row>
    <row r="8" spans="1:9" s="1" customFormat="1" x14ac:dyDescent="0.25">
      <c r="A8" s="3" t="s">
        <v>239</v>
      </c>
      <c r="B8" s="3" t="s">
        <v>240</v>
      </c>
      <c r="C8" s="3" t="s">
        <v>241</v>
      </c>
      <c r="D8" s="3" t="s">
        <v>242</v>
      </c>
      <c r="E8" s="3" t="s">
        <v>225</v>
      </c>
      <c r="F8" s="3" t="s">
        <v>1</v>
      </c>
      <c r="G8" s="3" t="s">
        <v>1</v>
      </c>
      <c r="H8" s="3" t="s">
        <v>1</v>
      </c>
      <c r="I8" s="10" t="s">
        <v>1</v>
      </c>
    </row>
    <row r="9" spans="1:9" s="1" customFormat="1" x14ac:dyDescent="0.25">
      <c r="A9" s="3" t="s">
        <v>243</v>
      </c>
      <c r="B9" s="3" t="s">
        <v>244</v>
      </c>
      <c r="C9" s="3" t="s">
        <v>245</v>
      </c>
      <c r="D9" s="3" t="s">
        <v>246</v>
      </c>
      <c r="E9" s="3" t="s">
        <v>247</v>
      </c>
      <c r="F9" s="3" t="s">
        <v>1</v>
      </c>
      <c r="G9" s="3" t="s">
        <v>1</v>
      </c>
      <c r="H9" s="3" t="s">
        <v>1</v>
      </c>
      <c r="I9" s="1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2" customWidth="1"/>
    <col min="4" max="4" width="44" customWidth="1"/>
  </cols>
  <sheetData>
    <row r="1" ht="22" customHeight="1" spans="1:4" s="4" customFormat="1" x14ac:dyDescent="0.25">
      <c r="A1" s="5" t="s">
        <v>248</v>
      </c>
      <c r="B1" s="5" t="s">
        <v>249</v>
      </c>
      <c r="C1" s="5" t="s">
        <v>219</v>
      </c>
      <c r="D1" s="5" t="s">
        <v>149</v>
      </c>
    </row>
    <row r="2" spans="1:4" s="1" customFormat="1" x14ac:dyDescent="0.25">
      <c r="A2" s="3" t="s">
        <v>55</v>
      </c>
      <c r="B2" s="3" t="s">
        <v>62</v>
      </c>
      <c r="C2" s="3" t="s">
        <v>184</v>
      </c>
      <c r="D2" s="3" t="s">
        <v>211</v>
      </c>
    </row>
    <row r="3" spans="1:4" s="1" customFormat="1" x14ac:dyDescent="0.25">
      <c r="A3" s="3" t="s">
        <v>250</v>
      </c>
      <c r="B3" s="3" t="s">
        <v>64</v>
      </c>
      <c r="C3" s="3" t="s">
        <v>184</v>
      </c>
      <c r="D3" s="3" t="s">
        <v>211</v>
      </c>
    </row>
    <row r="4" spans="1:4" s="1" customFormat="1" x14ac:dyDescent="0.25">
      <c r="A4" s="3" t="s">
        <v>251</v>
      </c>
      <c r="B4" s="3" t="s">
        <v>252</v>
      </c>
      <c r="C4" s="3" t="s">
        <v>247</v>
      </c>
      <c r="D4" s="3" t="s">
        <v>211</v>
      </c>
    </row>
    <row r="5" spans="1:4" s="1" customFormat="1" x14ac:dyDescent="0.25">
      <c r="A5" s="3" t="s">
        <v>253</v>
      </c>
      <c r="B5" s="3" t="s">
        <v>254</v>
      </c>
      <c r="C5" s="3" t="s">
        <v>247</v>
      </c>
      <c r="D5" s="3" t="s">
        <v>211</v>
      </c>
    </row>
    <row r="6" spans="1:4" s="1" customFormat="1" x14ac:dyDescent="0.25">
      <c r="A6" s="3" t="s">
        <v>255</v>
      </c>
      <c r="B6" s="3" t="s">
        <v>252</v>
      </c>
      <c r="C6" s="3" t="s">
        <v>247</v>
      </c>
      <c r="D6" s="3" t="s">
        <v>211</v>
      </c>
    </row>
    <row r="7" spans="1:4" s="1" customFormat="1" x14ac:dyDescent="0.25">
      <c r="A7" s="3" t="s">
        <v>256</v>
      </c>
      <c r="B7" s="3" t="s">
        <v>257</v>
      </c>
      <c r="C7" s="3" t="s">
        <v>247</v>
      </c>
      <c r="D7" s="3" t="s">
        <v>211</v>
      </c>
    </row>
    <row r="8" spans="1:4" s="1" customFormat="1" x14ac:dyDescent="0.25">
      <c r="A8" s="3" t="s">
        <v>258</v>
      </c>
      <c r="B8" s="3" t="s">
        <v>259</v>
      </c>
      <c r="C8" s="3" t="s">
        <v>247</v>
      </c>
      <c r="D8" s="3" t="s">
        <v>211</v>
      </c>
    </row>
    <row r="9" spans="1:4" s="1" customFormat="1" x14ac:dyDescent="0.25">
      <c r="A9" s="3" t="s">
        <v>260</v>
      </c>
      <c r="B9" s="3" t="s">
        <v>254</v>
      </c>
      <c r="C9" s="3" t="s">
        <v>247</v>
      </c>
      <c r="D9" s="3" t="s">
        <v>211</v>
      </c>
    </row>
    <row r="10" spans="1:4" s="1" customFormat="1" x14ac:dyDescent="0.25">
      <c r="A10" s="3" t="s">
        <v>261</v>
      </c>
      <c r="B10" s="3" t="s">
        <v>262</v>
      </c>
      <c r="C10" s="3" t="s">
        <v>247</v>
      </c>
      <c r="D10" s="3" t="s">
        <v>211</v>
      </c>
    </row>
    <row r="11" spans="1:4" s="1" customFormat="1" x14ac:dyDescent="0.25">
      <c r="A11" s="3" t="s">
        <v>263</v>
      </c>
      <c r="B11" s="3" t="s">
        <v>264</v>
      </c>
      <c r="C11" s="3" t="s">
        <v>247</v>
      </c>
      <c r="D11" s="3" t="s">
        <v>211</v>
      </c>
    </row>
    <row r="12" spans="1:4" s="1" customFormat="1" x14ac:dyDescent="0.25">
      <c r="A12" s="3" t="s">
        <v>265</v>
      </c>
      <c r="B12" s="3" t="s">
        <v>168</v>
      </c>
      <c r="C12" s="3" t="s">
        <v>225</v>
      </c>
      <c r="D12" s="3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2" customWidth="1"/>
    <col min="4" max="4" width="44" customWidth="1"/>
  </cols>
  <sheetData>
    <row r="1" ht="22" customHeight="1" spans="1:4" s="4" customFormat="1" x14ac:dyDescent="0.25">
      <c r="A1" s="5" t="s">
        <v>248</v>
      </c>
      <c r="B1" s="5" t="s">
        <v>249</v>
      </c>
      <c r="C1" s="5" t="s">
        <v>219</v>
      </c>
      <c r="D1" s="5" t="s">
        <v>149</v>
      </c>
    </row>
    <row r="2" spans="1:4" s="1" customFormat="1" x14ac:dyDescent="0.25">
      <c r="A2" s="3" t="s">
        <v>267</v>
      </c>
      <c r="B2" s="3" t="s">
        <v>174</v>
      </c>
      <c r="C2" s="3" t="s">
        <v>184</v>
      </c>
      <c r="D2" s="3" t="s">
        <v>268</v>
      </c>
    </row>
    <row r="3" spans="1:4" s="1" customFormat="1" x14ac:dyDescent="0.25">
      <c r="A3" s="3" t="s">
        <v>46</v>
      </c>
      <c r="B3" s="3" t="s">
        <v>48</v>
      </c>
      <c r="C3" s="3" t="s">
        <v>184</v>
      </c>
      <c r="D3" s="3" t="s">
        <v>268</v>
      </c>
    </row>
    <row r="4" spans="1:4" s="1" customFormat="1" x14ac:dyDescent="0.25">
      <c r="A4" s="3" t="s">
        <v>269</v>
      </c>
      <c r="B4" s="3" t="s">
        <v>270</v>
      </c>
      <c r="C4" s="3" t="s">
        <v>247</v>
      </c>
      <c r="D4" s="3" t="s">
        <v>268</v>
      </c>
    </row>
    <row r="5" spans="1:4" s="1" customFormat="1" x14ac:dyDescent="0.25">
      <c r="A5" s="3" t="s">
        <v>271</v>
      </c>
      <c r="B5" s="3" t="s">
        <v>262</v>
      </c>
      <c r="C5" s="3" t="s">
        <v>247</v>
      </c>
      <c r="D5" s="3" t="s">
        <v>268</v>
      </c>
    </row>
    <row r="6" spans="1:4" s="1" customFormat="1" x14ac:dyDescent="0.25">
      <c r="A6" s="3" t="s">
        <v>272</v>
      </c>
      <c r="B6" s="3" t="s">
        <v>273</v>
      </c>
      <c r="C6" s="3" t="s">
        <v>247</v>
      </c>
      <c r="D6" s="3" t="s">
        <v>268</v>
      </c>
    </row>
    <row r="7" spans="1:4" s="1" customFormat="1" x14ac:dyDescent="0.25">
      <c r="A7" s="3" t="s">
        <v>274</v>
      </c>
      <c r="B7" s="3" t="s">
        <v>262</v>
      </c>
      <c r="C7" s="3" t="s">
        <v>247</v>
      </c>
      <c r="D7" s="3" t="s">
        <v>268</v>
      </c>
    </row>
    <row r="8" spans="1:4" s="1" customFormat="1" x14ac:dyDescent="0.25">
      <c r="A8" s="3" t="s">
        <v>275</v>
      </c>
      <c r="B8" s="3" t="s">
        <v>270</v>
      </c>
      <c r="C8" s="3" t="s">
        <v>247</v>
      </c>
      <c r="D8" s="3" t="s">
        <v>268</v>
      </c>
    </row>
    <row r="9" spans="1:4" s="1" customFormat="1" x14ac:dyDescent="0.25">
      <c r="A9" s="3" t="s">
        <v>276</v>
      </c>
      <c r="B9" s="3" t="s">
        <v>277</v>
      </c>
      <c r="C9" s="3" t="s">
        <v>247</v>
      </c>
      <c r="D9" s="3" t="s">
        <v>268</v>
      </c>
    </row>
    <row r="10" spans="1:4" s="1" customFormat="1" x14ac:dyDescent="0.25">
      <c r="A10" s="3" t="s">
        <v>278</v>
      </c>
      <c r="B10" s="3" t="s">
        <v>277</v>
      </c>
      <c r="C10" s="3" t="s">
        <v>247</v>
      </c>
      <c r="D10" s="3" t="s">
        <v>268</v>
      </c>
    </row>
    <row r="11" spans="1:4" s="1" customFormat="1" x14ac:dyDescent="0.25">
      <c r="A11" s="3" t="s">
        <v>279</v>
      </c>
      <c r="B11" s="3" t="s">
        <v>277</v>
      </c>
      <c r="C11" s="3" t="s">
        <v>247</v>
      </c>
      <c r="D11" s="3" t="s">
        <v>268</v>
      </c>
    </row>
    <row r="12" spans="1:4" s="1" customFormat="1" x14ac:dyDescent="0.25">
      <c r="A12" s="3" t="s">
        <v>280</v>
      </c>
      <c r="B12" s="3" t="s">
        <v>277</v>
      </c>
      <c r="C12" s="3" t="s">
        <v>247</v>
      </c>
      <c r="D12" s="3" t="s">
        <v>268</v>
      </c>
    </row>
    <row r="13" spans="1:4" s="1" customFormat="1" x14ac:dyDescent="0.25">
      <c r="A13" s="3" t="s">
        <v>281</v>
      </c>
      <c r="B13" s="3" t="s">
        <v>233</v>
      </c>
      <c r="C13" s="3" t="s">
        <v>225</v>
      </c>
      <c r="D13" s="3" t="s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8" customWidth="1"/>
    <col min="3" max="3" width="22" customWidth="1"/>
    <col min="4" max="4" width="52" customWidth="1"/>
  </cols>
  <sheetData>
    <row r="1" ht="22" customHeight="1" spans="1:4" s="4" customFormat="1" x14ac:dyDescent="0.25">
      <c r="A1" s="5" t="s">
        <v>248</v>
      </c>
      <c r="B1" s="5" t="s">
        <v>249</v>
      </c>
      <c r="C1" s="5" t="s">
        <v>219</v>
      </c>
      <c r="D1" s="5" t="s">
        <v>149</v>
      </c>
    </row>
    <row r="2" spans="1:4" s="1" customFormat="1" x14ac:dyDescent="0.25">
      <c r="A2" s="3" t="s">
        <v>283</v>
      </c>
      <c r="B2" s="3" t="s">
        <v>151</v>
      </c>
      <c r="C2" s="3" t="s">
        <v>225</v>
      </c>
      <c r="D2" s="3" t="s">
        <v>284</v>
      </c>
    </row>
    <row r="3" spans="1:4" s="1" customFormat="1" x14ac:dyDescent="0.25">
      <c r="A3" s="3" t="s">
        <v>103</v>
      </c>
      <c r="B3" s="3" t="s">
        <v>153</v>
      </c>
      <c r="C3" s="3" t="s">
        <v>184</v>
      </c>
      <c r="D3" s="3" t="s">
        <v>156</v>
      </c>
    </row>
    <row r="4" spans="1:4" s="1" customFormat="1" x14ac:dyDescent="0.25">
      <c r="A4" s="3" t="s">
        <v>105</v>
      </c>
      <c r="B4" s="3" t="s">
        <v>161</v>
      </c>
      <c r="C4" s="3" t="s">
        <v>225</v>
      </c>
      <c r="D4" s="3" t="s">
        <v>162</v>
      </c>
    </row>
    <row r="5" spans="1:4" s="1" customFormat="1" x14ac:dyDescent="0.25">
      <c r="A5" s="3" t="s">
        <v>120</v>
      </c>
      <c r="B5" s="3" t="s">
        <v>165</v>
      </c>
      <c r="C5" s="3" t="s">
        <v>184</v>
      </c>
      <c r="D5" s="3" t="s">
        <v>166</v>
      </c>
    </row>
    <row r="6" spans="1:4" s="1" customFormat="1" x14ac:dyDescent="0.25">
      <c r="A6" s="3" t="s">
        <v>285</v>
      </c>
      <c r="B6" s="3" t="s">
        <v>264</v>
      </c>
      <c r="C6" s="3" t="s">
        <v>225</v>
      </c>
      <c r="D6" s="3" t="s">
        <v>286</v>
      </c>
    </row>
    <row r="7" spans="1:4" s="1" customFormat="1" x14ac:dyDescent="0.25">
      <c r="A7" s="3" t="s">
        <v>139</v>
      </c>
      <c r="B7" s="3" t="s">
        <v>264</v>
      </c>
      <c r="C7" s="3" t="s">
        <v>225</v>
      </c>
      <c r="D7" s="3" t="s">
        <v>287</v>
      </c>
    </row>
    <row r="8" spans="1:4" s="1" customFormat="1" x14ac:dyDescent="0.25">
      <c r="A8" s="3" t="s">
        <v>288</v>
      </c>
      <c r="B8" s="3" t="s">
        <v>289</v>
      </c>
      <c r="C8" s="3" t="s">
        <v>225</v>
      </c>
      <c r="D8" s="3" t="s">
        <v>290</v>
      </c>
    </row>
    <row r="9" spans="1:4" s="1" customFormat="1" x14ac:dyDescent="0.25">
      <c r="A9" s="3" t="s">
        <v>158</v>
      </c>
      <c r="B9" s="3" t="s">
        <v>159</v>
      </c>
      <c r="C9" s="3" t="s">
        <v>225</v>
      </c>
      <c r="D9" s="3" t="s">
        <v>291</v>
      </c>
    </row>
    <row r="10" spans="1:4" s="1" customFormat="1" x14ac:dyDescent="0.25">
      <c r="A10" s="3" t="s">
        <v>292</v>
      </c>
      <c r="B10" s="3" t="s">
        <v>264</v>
      </c>
      <c r="C10" s="3" t="s">
        <v>225</v>
      </c>
      <c r="D10" s="3" t="s">
        <v>293</v>
      </c>
    </row>
    <row r="11" spans="1:4" s="1" customFormat="1" x14ac:dyDescent="0.25">
      <c r="A11" s="3" t="s">
        <v>196</v>
      </c>
      <c r="B11" s="3" t="s">
        <v>197</v>
      </c>
      <c r="C11" s="3" t="s">
        <v>225</v>
      </c>
      <c r="D11" s="3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0" customWidth="1"/>
    <col min="3" max="3" width="22" customWidth="1"/>
    <col min="4" max="4" width="64" customWidth="1"/>
  </cols>
  <sheetData>
    <row r="1" ht="22" customHeight="1" spans="1:4" s="4" customFormat="1" x14ac:dyDescent="0.25">
      <c r="A1" s="5" t="s">
        <v>248</v>
      </c>
      <c r="B1" s="5" t="s">
        <v>249</v>
      </c>
      <c r="C1" s="5" t="s">
        <v>219</v>
      </c>
      <c r="D1" s="5" t="s">
        <v>149</v>
      </c>
    </row>
    <row r="2" spans="1:4" s="1" customFormat="1" x14ac:dyDescent="0.25">
      <c r="A2" s="3" t="s">
        <v>114</v>
      </c>
      <c r="B2" s="3" t="s">
        <v>161</v>
      </c>
      <c r="C2" s="3" t="s">
        <v>225</v>
      </c>
      <c r="D2" s="3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4" width="52" customWidth="1"/>
  </cols>
  <sheetData>
    <row r="1" ht="22" customHeight="1" spans="1:4" s="4" customFormat="1" x14ac:dyDescent="0.25">
      <c r="A1" s="5" t="s">
        <v>296</v>
      </c>
      <c r="B1" s="5" t="s">
        <v>297</v>
      </c>
      <c r="C1" s="5" t="s">
        <v>298</v>
      </c>
      <c r="D1" s="5" t="s">
        <v>299</v>
      </c>
    </row>
    <row r="2" spans="1:4" s="1" customFormat="1" x14ac:dyDescent="0.25">
      <c r="A2" s="3" t="s">
        <v>300</v>
      </c>
      <c r="B2" s="3" t="s">
        <v>301</v>
      </c>
      <c r="C2" s="3" t="s">
        <v>302</v>
      </c>
      <c r="D2" s="3" t="s">
        <v>303</v>
      </c>
    </row>
    <row r="3" spans="1:4" s="1" customFormat="1" x14ac:dyDescent="0.25">
      <c r="A3" s="3" t="s">
        <v>304</v>
      </c>
      <c r="B3" s="3" t="s">
        <v>301</v>
      </c>
      <c r="C3" s="3" t="s">
        <v>305</v>
      </c>
      <c r="D3" s="3" t="s">
        <v>306</v>
      </c>
    </row>
    <row r="4" spans="1:4" s="1" customFormat="1" x14ac:dyDescent="0.25">
      <c r="A4" s="3" t="s">
        <v>170</v>
      </c>
      <c r="B4" s="3" t="s">
        <v>301</v>
      </c>
      <c r="C4" s="3" t="s">
        <v>307</v>
      </c>
      <c r="D4" s="3" t="s">
        <v>308</v>
      </c>
    </row>
    <row r="5" spans="1:4" s="1" customFormat="1" x14ac:dyDescent="0.25">
      <c r="A5" s="3" t="s">
        <v>309</v>
      </c>
      <c r="B5" s="3" t="s">
        <v>301</v>
      </c>
      <c r="C5" s="3" t="s">
        <v>310</v>
      </c>
      <c r="D5" s="3" t="s">
        <v>311</v>
      </c>
    </row>
    <row r="6" spans="1:4" s="1" customFormat="1" x14ac:dyDescent="0.25">
      <c r="A6" s="3" t="s">
        <v>312</v>
      </c>
      <c r="B6" s="3" t="s">
        <v>301</v>
      </c>
      <c r="C6" s="3" t="s">
        <v>313</v>
      </c>
      <c r="D6" s="3" t="s">
        <v>314</v>
      </c>
    </row>
    <row r="7" spans="1:4" s="1" customFormat="1" x14ac:dyDescent="0.25">
      <c r="A7" s="3" t="s">
        <v>315</v>
      </c>
      <c r="B7" s="3" t="s">
        <v>147</v>
      </c>
      <c r="C7" s="3" t="s">
        <v>316</v>
      </c>
      <c r="D7" s="3" t="s">
        <v>317</v>
      </c>
    </row>
    <row r="8" spans="1:4" s="1" customFormat="1" x14ac:dyDescent="0.25">
      <c r="A8" s="3" t="s">
        <v>318</v>
      </c>
      <c r="B8" s="3" t="s">
        <v>147</v>
      </c>
      <c r="C8" s="3" t="s">
        <v>319</v>
      </c>
      <c r="D8" s="3" t="s">
        <v>320</v>
      </c>
    </row>
    <row r="9" spans="1:4" s="1" customFormat="1" x14ac:dyDescent="0.25">
      <c r="A9" s="3" t="s">
        <v>321</v>
      </c>
      <c r="B9" s="3" t="s">
        <v>322</v>
      </c>
      <c r="C9" s="3" t="s">
        <v>323</v>
      </c>
      <c r="D9" s="3" t="s">
        <v>324</v>
      </c>
    </row>
    <row r="10" spans="1:4" s="1" customFormat="1" x14ac:dyDescent="0.25">
      <c r="A10" s="3" t="s">
        <v>114</v>
      </c>
      <c r="B10" s="3" t="s">
        <v>322</v>
      </c>
      <c r="C10" s="3" t="s">
        <v>325</v>
      </c>
      <c r="D10" s="3" t="s">
        <v>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ht="22" customHeight="1" spans="1:2" s="4" customFormat="1" x14ac:dyDescent="0.25">
      <c r="A1" s="5" t="s">
        <v>4</v>
      </c>
      <c r="B1" s="5" t="s">
        <v>5</v>
      </c>
    </row>
    <row r="2" spans="1:2" s="1" customFormat="1" x14ac:dyDescent="0.25">
      <c r="A2" s="3" t="s">
        <v>327</v>
      </c>
      <c r="B2" s="3" t="s">
        <v>16</v>
      </c>
    </row>
    <row r="3" spans="1:2" s="1" customFormat="1" x14ac:dyDescent="0.25">
      <c r="A3" s="3" t="s">
        <v>312</v>
      </c>
      <c r="B3" s="3" t="s">
        <v>18</v>
      </c>
    </row>
    <row r="4" spans="1:2" s="1" customFormat="1" x14ac:dyDescent="0.25">
      <c r="A4" s="3" t="s">
        <v>299</v>
      </c>
      <c r="B4" s="3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22" customWidth="1"/>
    <col min="4" max="4" width="24" customWidth="1"/>
    <col min="5" max="6" width="12" customWidth="1"/>
    <col min="7" max="7" width="26" customWidth="1"/>
    <col min="8" max="8" width="20" customWidth="1"/>
    <col min="9" max="9" width="22" customWidth="1"/>
    <col min="10" max="10" width="60" customWidth="1"/>
  </cols>
  <sheetData>
    <row r="1" ht="22" customHeight="1" spans="1:10" s="4" customFormat="1" x14ac:dyDescent="0.25">
      <c r="A1" s="5" t="s">
        <v>4</v>
      </c>
      <c r="B1" s="5" t="s">
        <v>329</v>
      </c>
      <c r="C1" s="5" t="s">
        <v>9</v>
      </c>
      <c r="D1" s="5" t="s">
        <v>5</v>
      </c>
      <c r="E1" s="5" t="s">
        <v>32</v>
      </c>
      <c r="F1" s="5" t="s">
        <v>81</v>
      </c>
      <c r="G1" s="5" t="s">
        <v>219</v>
      </c>
      <c r="H1" s="5" t="s">
        <v>330</v>
      </c>
      <c r="I1" s="5" t="s">
        <v>331</v>
      </c>
      <c r="J1" s="5" t="s">
        <v>332</v>
      </c>
    </row>
    <row r="2" spans="1:10" s="1" customFormat="1" x14ac:dyDescent="0.25">
      <c r="A2" s="3" t="s">
        <v>333</v>
      </c>
      <c r="B2" s="3" t="s">
        <v>334</v>
      </c>
      <c r="C2" s="3" t="s">
        <v>335</v>
      </c>
      <c r="D2" s="3" t="s">
        <v>336</v>
      </c>
      <c r="E2" s="3" t="s">
        <v>337</v>
      </c>
      <c r="F2" s="3" t="s">
        <v>1</v>
      </c>
      <c r="G2" s="3" t="s">
        <v>338</v>
      </c>
      <c r="H2" s="3" t="s">
        <v>1</v>
      </c>
      <c r="I2" s="3" t="s">
        <v>339</v>
      </c>
      <c r="J2" s="3" t="s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12" customWidth="1"/>
    <col min="5" max="5" width="20" customWidth="1"/>
    <col min="6" max="7" width="16" customWidth="1"/>
    <col min="8" max="8" width="12" customWidth="1"/>
    <col min="9" max="9" width="24" customWidth="1"/>
  </cols>
  <sheetData>
    <row r="1" ht="22" customHeight="1" spans="1:9" s="4" customFormat="1" x14ac:dyDescent="0.25">
      <c r="A1" s="5" t="s">
        <v>341</v>
      </c>
      <c r="B1" s="5" t="s">
        <v>342</v>
      </c>
      <c r="C1" s="5" t="s">
        <v>343</v>
      </c>
      <c r="D1" s="5" t="s">
        <v>329</v>
      </c>
      <c r="E1" s="5" t="s">
        <v>344</v>
      </c>
      <c r="F1" s="5" t="s">
        <v>345</v>
      </c>
      <c r="G1" s="5" t="s">
        <v>346</v>
      </c>
      <c r="H1" s="5" t="s">
        <v>32</v>
      </c>
      <c r="I1" s="5" t="s">
        <v>219</v>
      </c>
    </row>
    <row r="2" spans="1:9" s="1" customFormat="1" x14ac:dyDescent="0.25">
      <c r="A2" s="3" t="s">
        <v>1</v>
      </c>
      <c r="B2" s="3" t="s">
        <v>1</v>
      </c>
      <c r="C2" s="3" t="s">
        <v>347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36" customWidth="1"/>
    <col min="4" max="4" width="10" customWidth="1"/>
    <col min="5" max="5" width="18" customWidth="1"/>
    <col min="6" max="6" width="64" customWidth="1"/>
  </cols>
  <sheetData>
    <row r="1" ht="22" customHeight="1" spans="1:6" s="4" customFormat="1" x14ac:dyDescent="0.25">
      <c r="A1" s="5" t="s">
        <v>219</v>
      </c>
      <c r="B1" s="5" t="s">
        <v>341</v>
      </c>
      <c r="C1" s="5" t="s">
        <v>348</v>
      </c>
      <c r="D1" s="5" t="s">
        <v>329</v>
      </c>
      <c r="E1" s="5" t="s">
        <v>330</v>
      </c>
      <c r="F1" s="5" t="s">
        <v>349</v>
      </c>
    </row>
    <row r="2" spans="1:6" s="1" customFormat="1" x14ac:dyDescent="0.25">
      <c r="A2" s="3" t="s">
        <v>338</v>
      </c>
      <c r="B2" s="3" t="s">
        <v>350</v>
      </c>
      <c r="C2" s="3" t="s">
        <v>1</v>
      </c>
      <c r="D2" s="3" t="s">
        <v>334</v>
      </c>
      <c r="E2" s="3" t="s">
        <v>1</v>
      </c>
      <c r="F2" s="3" t="s">
        <v>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24" customWidth="1"/>
  </cols>
  <sheetData>
    <row r="2" spans="1:2" s="1" customFormat="1" x14ac:dyDescent="0.25">
      <c r="A2" s="3" t="s">
        <v>352</v>
      </c>
      <c r="B2" s="3" t="s">
        <v>1</v>
      </c>
    </row>
    <row r="4" spans="1:3" s="4" customFormat="1" x14ac:dyDescent="0.25">
      <c r="A4" s="5" t="s">
        <v>353</v>
      </c>
      <c r="B4" s="5" t="s">
        <v>354</v>
      </c>
      <c r="C4" s="5" t="s">
        <v>355</v>
      </c>
    </row>
    <row r="5" spans="1:3" s="1" customFormat="1" x14ac:dyDescent="0.25">
      <c r="A5" s="3" t="s">
        <v>211</v>
      </c>
      <c r="B5" s="3" t="s">
        <v>55</v>
      </c>
      <c r="C5" s="3" t="s">
        <v>62</v>
      </c>
    </row>
    <row r="6" spans="1:3" s="1" customFormat="1" x14ac:dyDescent="0.25">
      <c r="A6" s="3" t="s">
        <v>211</v>
      </c>
      <c r="B6" s="3" t="s">
        <v>250</v>
      </c>
      <c r="C6" s="3" t="s">
        <v>64</v>
      </c>
    </row>
    <row r="7" spans="1:3" s="1" customFormat="1" x14ac:dyDescent="0.25">
      <c r="A7" s="3" t="s">
        <v>211</v>
      </c>
      <c r="B7" s="3" t="s">
        <v>251</v>
      </c>
      <c r="C7" s="3" t="s">
        <v>252</v>
      </c>
    </row>
    <row r="8" spans="1:3" s="1" customFormat="1" x14ac:dyDescent="0.25">
      <c r="A8" s="3" t="s">
        <v>211</v>
      </c>
      <c r="B8" s="3" t="s">
        <v>253</v>
      </c>
      <c r="C8" s="3" t="s">
        <v>254</v>
      </c>
    </row>
    <row r="9" spans="1:3" s="1" customFormat="1" x14ac:dyDescent="0.25">
      <c r="A9" s="3" t="s">
        <v>211</v>
      </c>
      <c r="B9" s="3" t="s">
        <v>255</v>
      </c>
      <c r="C9" s="3" t="s">
        <v>252</v>
      </c>
    </row>
    <row r="10" spans="1:3" s="1" customFormat="1" x14ac:dyDescent="0.25">
      <c r="A10" s="3" t="s">
        <v>211</v>
      </c>
      <c r="B10" s="3" t="s">
        <v>256</v>
      </c>
      <c r="C10" s="3" t="s">
        <v>257</v>
      </c>
    </row>
    <row r="11" spans="1:3" s="1" customFormat="1" x14ac:dyDescent="0.25">
      <c r="A11" s="3" t="s">
        <v>211</v>
      </c>
      <c r="B11" s="3" t="s">
        <v>258</v>
      </c>
      <c r="C11" s="3" t="s">
        <v>259</v>
      </c>
    </row>
    <row r="12" spans="1:3" s="1" customFormat="1" x14ac:dyDescent="0.25">
      <c r="A12" s="3" t="s">
        <v>211</v>
      </c>
      <c r="B12" s="3" t="s">
        <v>260</v>
      </c>
      <c r="C12" s="3" t="s">
        <v>254</v>
      </c>
    </row>
    <row r="13" spans="1:3" s="1" customFormat="1" x14ac:dyDescent="0.25">
      <c r="A13" s="3" t="s">
        <v>211</v>
      </c>
      <c r="B13" s="3" t="s">
        <v>261</v>
      </c>
      <c r="C13" s="3" t="s">
        <v>262</v>
      </c>
    </row>
    <row r="14" spans="1:3" s="1" customFormat="1" x14ac:dyDescent="0.25">
      <c r="A14" s="3" t="s">
        <v>211</v>
      </c>
      <c r="B14" s="3" t="s">
        <v>263</v>
      </c>
      <c r="C14" s="3" t="s">
        <v>264</v>
      </c>
    </row>
    <row r="15" spans="1:3" s="1" customFormat="1" x14ac:dyDescent="0.25">
      <c r="A15" s="3" t="s">
        <v>230</v>
      </c>
      <c r="B15" s="3" t="s">
        <v>267</v>
      </c>
      <c r="C15" s="3" t="s">
        <v>174</v>
      </c>
    </row>
    <row r="16" spans="1:3" s="1" customFormat="1" x14ac:dyDescent="0.25">
      <c r="A16" s="3" t="s">
        <v>230</v>
      </c>
      <c r="B16" s="3" t="s">
        <v>46</v>
      </c>
      <c r="C16" s="3" t="s">
        <v>48</v>
      </c>
    </row>
    <row r="17" spans="1:3" s="1" customFormat="1" x14ac:dyDescent="0.25">
      <c r="A17" s="3" t="s">
        <v>230</v>
      </c>
      <c r="B17" s="3" t="s">
        <v>269</v>
      </c>
      <c r="C17" s="3" t="s">
        <v>270</v>
      </c>
    </row>
    <row r="18" spans="1:3" s="1" customFormat="1" x14ac:dyDescent="0.25">
      <c r="A18" s="3" t="s">
        <v>230</v>
      </c>
      <c r="B18" s="3" t="s">
        <v>271</v>
      </c>
      <c r="C18" s="3" t="s">
        <v>262</v>
      </c>
    </row>
    <row r="19" spans="1:3" s="1" customFormat="1" x14ac:dyDescent="0.25">
      <c r="A19" s="3" t="s">
        <v>230</v>
      </c>
      <c r="B19" s="3" t="s">
        <v>272</v>
      </c>
      <c r="C19" s="3" t="s">
        <v>273</v>
      </c>
    </row>
    <row r="20" spans="1:3" s="1" customFormat="1" x14ac:dyDescent="0.25">
      <c r="A20" s="3" t="s">
        <v>230</v>
      </c>
      <c r="B20" s="3" t="s">
        <v>274</v>
      </c>
      <c r="C20" s="3" t="s">
        <v>262</v>
      </c>
    </row>
    <row r="21" spans="1:3" s="1" customFormat="1" x14ac:dyDescent="0.25">
      <c r="A21" s="3" t="s">
        <v>230</v>
      </c>
      <c r="B21" s="3" t="s">
        <v>275</v>
      </c>
      <c r="C21" s="3" t="s">
        <v>270</v>
      </c>
    </row>
    <row r="22" spans="1:3" s="1" customFormat="1" x14ac:dyDescent="0.25">
      <c r="A22" s="3" t="s">
        <v>230</v>
      </c>
      <c r="B22" s="3" t="s">
        <v>276</v>
      </c>
      <c r="C22" s="3" t="s">
        <v>277</v>
      </c>
    </row>
    <row r="23" spans="1:3" s="1" customFormat="1" x14ac:dyDescent="0.25">
      <c r="A23" s="3" t="s">
        <v>230</v>
      </c>
      <c r="B23" s="3" t="s">
        <v>278</v>
      </c>
      <c r="C23" s="3" t="s">
        <v>277</v>
      </c>
    </row>
    <row r="24" spans="1:3" s="1" customFormat="1" x14ac:dyDescent="0.25">
      <c r="A24" s="3" t="s">
        <v>230</v>
      </c>
      <c r="B24" s="3" t="s">
        <v>279</v>
      </c>
      <c r="C24" s="3" t="s">
        <v>277</v>
      </c>
    </row>
    <row r="25" spans="1:3" s="1" customFormat="1" x14ac:dyDescent="0.25">
      <c r="A25" s="3" t="s">
        <v>230</v>
      </c>
      <c r="B25" s="3" t="s">
        <v>280</v>
      </c>
      <c r="C25" s="3" t="s">
        <v>277</v>
      </c>
    </row>
    <row r="26" spans="1:3" s="1" customFormat="1" x14ac:dyDescent="0.25">
      <c r="A26" s="3" t="s">
        <v>356</v>
      </c>
      <c r="B26" s="3" t="s">
        <v>357</v>
      </c>
      <c r="C26" s="3" t="s">
        <v>358</v>
      </c>
    </row>
    <row r="27" spans="1:3" s="1" customFormat="1" x14ac:dyDescent="0.25">
      <c r="A27" s="3" t="s">
        <v>356</v>
      </c>
      <c r="B27" s="3" t="s">
        <v>182</v>
      </c>
      <c r="C27" s="3" t="s">
        <v>359</v>
      </c>
    </row>
    <row r="28" spans="1:3" s="1" customFormat="1" x14ac:dyDescent="0.25">
      <c r="A28" s="3" t="s">
        <v>356</v>
      </c>
      <c r="B28" s="3" t="s">
        <v>190</v>
      </c>
      <c r="C28" s="3" t="s">
        <v>360</v>
      </c>
    </row>
    <row r="29" spans="1:3" s="1" customFormat="1" x14ac:dyDescent="0.25">
      <c r="A29" s="3" t="s">
        <v>361</v>
      </c>
      <c r="B29" s="3" t="s">
        <v>215</v>
      </c>
      <c r="C29" s="3" t="s">
        <v>104</v>
      </c>
    </row>
    <row r="30" spans="1:3" s="1" customFormat="1" x14ac:dyDescent="0.25">
      <c r="A30" s="3" t="s">
        <v>361</v>
      </c>
      <c r="B30" s="3" t="s">
        <v>362</v>
      </c>
      <c r="C30" s="3" t="s">
        <v>363</v>
      </c>
    </row>
    <row r="31" spans="1:3" s="1" customFormat="1" x14ac:dyDescent="0.25">
      <c r="A31" s="3" t="s">
        <v>361</v>
      </c>
      <c r="B31" s="3" t="s">
        <v>364</v>
      </c>
      <c r="C31" s="3" t="s">
        <v>122</v>
      </c>
    </row>
    <row r="32" spans="1:3" s="1" customFormat="1" x14ac:dyDescent="0.25">
      <c r="A32" s="3" t="s">
        <v>361</v>
      </c>
      <c r="B32" s="3" t="s">
        <v>158</v>
      </c>
      <c r="C32" s="3" t="s">
        <v>365</v>
      </c>
    </row>
    <row r="34" spans="1:2" s="1" customFormat="1" x14ac:dyDescent="0.25">
      <c r="A34" s="3" t="s">
        <v>349</v>
      </c>
      <c r="B34" s="3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90" customWidth="1"/>
    <col min="3" max="3" width="14" customWidth="1"/>
  </cols>
  <sheetData>
    <row r="1" ht="22" customHeight="1" spans="1:3" s="4" customFormat="1" x14ac:dyDescent="0.25">
      <c r="A1" s="5" t="s">
        <v>29</v>
      </c>
      <c r="B1" s="5" t="s">
        <v>299</v>
      </c>
      <c r="C1" s="5" t="s">
        <v>367</v>
      </c>
    </row>
    <row r="2" spans="1:3" s="1" customFormat="1" x14ac:dyDescent="0.25">
      <c r="A2" s="3" t="s">
        <v>368</v>
      </c>
      <c r="B2" s="3" t="s">
        <v>369</v>
      </c>
      <c r="C2" s="3" t="s">
        <v>370</v>
      </c>
    </row>
    <row r="3" spans="1:3" s="1" customFormat="1" x14ac:dyDescent="0.25">
      <c r="A3" s="3" t="s">
        <v>368</v>
      </c>
      <c r="B3" s="3" t="s">
        <v>371</v>
      </c>
      <c r="C3" s="3" t="s">
        <v>370</v>
      </c>
    </row>
    <row r="4" spans="1:3" s="1" customFormat="1" x14ac:dyDescent="0.25">
      <c r="A4" s="3" t="s">
        <v>368</v>
      </c>
      <c r="B4" s="3" t="s">
        <v>372</v>
      </c>
      <c r="C4" s="3" t="s">
        <v>373</v>
      </c>
    </row>
    <row r="5" spans="1:3" s="1" customFormat="1" x14ac:dyDescent="0.25">
      <c r="A5" s="3" t="s">
        <v>368</v>
      </c>
      <c r="B5" s="3" t="s">
        <v>374</v>
      </c>
      <c r="C5" s="3" t="s">
        <v>373</v>
      </c>
    </row>
    <row r="6" spans="1:3" s="1" customFormat="1" x14ac:dyDescent="0.25">
      <c r="A6" s="3" t="s">
        <v>368</v>
      </c>
      <c r="B6" s="3" t="s">
        <v>375</v>
      </c>
      <c r="C6" s="3" t="s">
        <v>373</v>
      </c>
    </row>
    <row r="7" spans="1:3" s="1" customFormat="1" x14ac:dyDescent="0.25">
      <c r="A7" s="3" t="s">
        <v>368</v>
      </c>
      <c r="B7" s="3" t="s">
        <v>376</v>
      </c>
      <c r="C7" s="3" t="s">
        <v>373</v>
      </c>
    </row>
    <row r="8" spans="1:3" s="1" customFormat="1" x14ac:dyDescent="0.25">
      <c r="A8" s="3" t="s">
        <v>368</v>
      </c>
      <c r="B8" s="3" t="s">
        <v>377</v>
      </c>
      <c r="C8" s="3" t="s">
        <v>373</v>
      </c>
    </row>
    <row r="9" spans="1:3" s="1" customFormat="1" x14ac:dyDescent="0.25">
      <c r="A9" s="3" t="s">
        <v>368</v>
      </c>
      <c r="B9" s="3" t="s">
        <v>378</v>
      </c>
      <c r="C9" s="3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76" customWidth="1"/>
    <col min="3" max="3" width="60" customWidth="1"/>
    <col min="4" max="4" width="16" customWidth="1"/>
  </cols>
  <sheetData>
    <row r="1" ht="22" customHeight="1" spans="1:4" s="4" customFormat="1" x14ac:dyDescent="0.25">
      <c r="A1" s="5" t="s">
        <v>379</v>
      </c>
      <c r="B1" s="5" t="s">
        <v>380</v>
      </c>
      <c r="C1" s="5" t="s">
        <v>381</v>
      </c>
      <c r="D1" s="5" t="s">
        <v>297</v>
      </c>
    </row>
    <row r="2" spans="1:4" s="1" customFormat="1" x14ac:dyDescent="0.25">
      <c r="A2" s="3" t="s">
        <v>158</v>
      </c>
      <c r="B2" s="3" t="s">
        <v>382</v>
      </c>
      <c r="C2" s="3" t="s">
        <v>383</v>
      </c>
      <c r="D2" s="3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Обзор</vt:lpstr>
      <vt:lpstr>Интервью</vt:lpstr>
      <vt:lpstr>Финансовая модель</vt:lpstr>
      <vt:lpstr>Формулы</vt:lpstr>
      <vt:lpstr>CapEx</vt:lpstr>
      <vt:lpstr>OpEx</vt:lpstr>
      <vt:lpstr>Финансирование</vt:lpstr>
      <vt:lpstr>Залог</vt:lpstr>
      <vt:lpstr>Риски</vt:lpstr>
      <vt:lpstr>Готовность</vt:lpstr>
      <vt:lpstr>Рыночные данные</vt:lpstr>
      <vt:lpstr>Импорт и экспорт</vt:lpstr>
      <vt:lpstr>Источники</vt:lpstr>
      <vt:lpstr>Графики</vt:lpstr>
      <vt:lpstr>Рекомендации</vt:lpstr>
      <vt:lpstr>Предупреждения</vt:lpstr>
    </vt:vector>
  </TitlesOfParts>
  <Company>FINKO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FINKO SME Business Advisor</dc:creator>
  <dc:title/>
  <dc:subject/>
  <dc:description/>
  <cp:keywords/>
  <cp:category/>
  <cp:lastModifiedBy>Unknown</cp:lastModifiedBy>
  <dcterms:created xsi:type="dcterms:W3CDTF">2026-06-04T08:34:15Z</dcterms:created>
  <dcterms:modified xsi:type="dcterms:W3CDTF">2026-06-04T08:34:15Z</dcterms:modified>
</cp:coreProperties>
</file>